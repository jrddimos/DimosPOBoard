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2" documentId="11_7D4755BF84DCCE13E97046798E31F45B5A712953" xr6:coauthVersionLast="47" xr6:coauthVersionMax="47" xr10:uidLastSave="{C8277F2A-1982-4930-9F8F-53EB71AA7DE1}"/>
  <bookViews>
    <workbookView xWindow="240" yWindow="105" windowWidth="14805" windowHeight="8010" xr2:uid="{00000000-000D-0000-FFFF-FFFF00000000}"/>
  </bookViews>
  <sheets>
    <sheet name="SCORECARD DATA T3" sheetId="2" r:id="rId1"/>
  </sheets>
  <definedNames>
    <definedName name="ABSCOMTM" localSheetId="0">OFFSET('SCORECARD DATA T3'!$F$8,0,0,1,COUNTA('SCORECARD DATA T3'!$8:$8))</definedName>
    <definedName name="ORDOOMTM" localSheetId="0">OFFSET('SCORECARD DATA T3'!$F$9,0,0,1,COUNTA('SCORECARD DATA T3'!$9:$9))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2" l="1"/>
  <c r="G18" i="2" s="1"/>
  <c r="F16" i="2"/>
  <c r="G16" i="2" s="1"/>
  <c r="F14" i="2"/>
  <c r="G14" i="2" s="1"/>
  <c r="H14" i="2" s="1"/>
  <c r="I14" i="2" s="1"/>
  <c r="J14" i="2" s="1"/>
  <c r="K14" i="2" s="1"/>
  <c r="G13" i="2"/>
  <c r="H13" i="2" s="1"/>
  <c r="I13" i="2" s="1"/>
  <c r="F12" i="2"/>
  <c r="G12" i="2" s="1"/>
  <c r="H12" i="2" s="1"/>
  <c r="I12" i="2" s="1"/>
  <c r="J12" i="2" s="1"/>
  <c r="K12" i="2" s="1"/>
  <c r="F10" i="2"/>
  <c r="G10" i="2" s="1"/>
  <c r="H10" i="2" s="1"/>
  <c r="I10" i="2" s="1"/>
  <c r="J10" i="2" s="1"/>
  <c r="K10" i="2" s="1"/>
  <c r="AF9" i="2"/>
  <c r="AG9" i="2" s="1"/>
  <c r="AF8" i="2"/>
  <c r="AG8" i="2" s="1"/>
  <c r="F8" i="2"/>
  <c r="G8" i="2" s="1"/>
  <c r="H8" i="2" s="1"/>
  <c r="I8" i="2" s="1"/>
  <c r="J8" i="2" s="1"/>
  <c r="K8" i="2" s="1"/>
  <c r="L8" i="2" s="1"/>
  <c r="M8" i="2" s="1"/>
  <c r="N8" i="2" s="1"/>
  <c r="AF7" i="2"/>
  <c r="AG7" i="2" s="1"/>
  <c r="AF6" i="2"/>
  <c r="AG6" i="2" s="1"/>
  <c r="AF5" i="2"/>
  <c r="AG5" i="2" s="1"/>
  <c r="AF4" i="2"/>
  <c r="AG4" i="2" s="1"/>
  <c r="AF3" i="2"/>
  <c r="AG3" i="2" s="1"/>
  <c r="AF2" i="2"/>
  <c r="AG2" i="2" s="1"/>
  <c r="AF1" i="2"/>
  <c r="AG1" i="2" s="1"/>
  <c r="M9" i="2" l="1"/>
  <c r="O8" i="2"/>
  <c r="J11" i="2"/>
  <c r="L10" i="2"/>
  <c r="J13" i="2"/>
  <c r="L12" i="2"/>
  <c r="J15" i="2"/>
  <c r="L14" i="2"/>
  <c r="F17" i="2"/>
  <c r="H16" i="2"/>
  <c r="F19" i="2"/>
  <c r="H18" i="2"/>
  <c r="G19" i="2" l="1"/>
  <c r="I18" i="2"/>
  <c r="G17" i="2"/>
  <c r="I16" i="2"/>
  <c r="K15" i="2"/>
  <c r="M14" i="2"/>
  <c r="K13" i="2"/>
  <c r="M12" i="2"/>
  <c r="K11" i="2"/>
  <c r="M10" i="2"/>
  <c r="N9" i="2"/>
  <c r="P8" i="2"/>
  <c r="O9" i="2" l="1"/>
  <c r="Q8" i="2"/>
  <c r="L11" i="2"/>
  <c r="N10" i="2"/>
  <c r="L13" i="2"/>
  <c r="N12" i="2"/>
  <c r="L15" i="2"/>
  <c r="N14" i="2"/>
  <c r="H17" i="2"/>
  <c r="J16" i="2"/>
  <c r="H19" i="2"/>
  <c r="J18" i="2"/>
  <c r="I19" i="2" l="1"/>
  <c r="K18" i="2"/>
  <c r="I17" i="2"/>
  <c r="K16" i="2"/>
  <c r="M15" i="2"/>
  <c r="O14" i="2"/>
  <c r="M13" i="2"/>
  <c r="O12" i="2"/>
  <c r="M11" i="2"/>
  <c r="O10" i="2"/>
  <c r="P9" i="2"/>
  <c r="R8" i="2"/>
  <c r="Q9" i="2" l="1"/>
  <c r="S8" i="2"/>
  <c r="N11" i="2"/>
  <c r="P10" i="2"/>
  <c r="N13" i="2"/>
  <c r="P12" i="2"/>
  <c r="N15" i="2"/>
  <c r="P14" i="2"/>
  <c r="J17" i="2"/>
  <c r="L16" i="2"/>
  <c r="J19" i="2"/>
  <c r="L18" i="2"/>
  <c r="K19" i="2" l="1"/>
  <c r="M18" i="2"/>
  <c r="K17" i="2"/>
  <c r="M16" i="2"/>
  <c r="O15" i="2"/>
  <c r="Q14" i="2"/>
  <c r="O13" i="2"/>
  <c r="Q12" i="2"/>
  <c r="O11" i="2"/>
  <c r="Q10" i="2"/>
  <c r="R9" i="2"/>
  <c r="T8" i="2"/>
  <c r="S9" i="2" l="1"/>
  <c r="U8" i="2"/>
  <c r="P11" i="2"/>
  <c r="R10" i="2"/>
  <c r="P13" i="2"/>
  <c r="R12" i="2"/>
  <c r="P15" i="2"/>
  <c r="R14" i="2"/>
  <c r="L17" i="2"/>
  <c r="N16" i="2"/>
  <c r="L19" i="2"/>
  <c r="N18" i="2"/>
  <c r="M19" i="2" l="1"/>
  <c r="O18" i="2"/>
  <c r="M17" i="2"/>
  <c r="O16" i="2"/>
  <c r="Q15" i="2"/>
  <c r="S14" i="2"/>
  <c r="Q13" i="2"/>
  <c r="S12" i="2"/>
  <c r="Q11" i="2"/>
  <c r="S10" i="2"/>
  <c r="T9" i="2"/>
  <c r="V8" i="2"/>
  <c r="U9" i="2" l="1"/>
  <c r="W8" i="2"/>
  <c r="R11" i="2"/>
  <c r="T10" i="2"/>
  <c r="R13" i="2"/>
  <c r="T12" i="2"/>
  <c r="R15" i="2"/>
  <c r="T14" i="2"/>
  <c r="N17" i="2"/>
  <c r="P16" i="2"/>
  <c r="N19" i="2"/>
  <c r="P18" i="2"/>
  <c r="O19" i="2" l="1"/>
  <c r="Q18" i="2"/>
  <c r="O17" i="2"/>
  <c r="Q16" i="2"/>
  <c r="T15" i="2"/>
  <c r="S15" i="2"/>
  <c r="S13" i="2"/>
  <c r="U12" i="2"/>
  <c r="S11" i="2"/>
  <c r="U10" i="2"/>
  <c r="W9" i="2"/>
  <c r="V9" i="2"/>
  <c r="S6" i="2" a="1"/>
  <c r="S6" i="2" s="1"/>
  <c r="S2" i="2" a="1"/>
  <c r="S2" i="2" s="1"/>
  <c r="S7" i="2" a="1"/>
  <c r="S7" i="2" s="1"/>
  <c r="S4" i="2" a="1"/>
  <c r="S4" i="2" s="1"/>
  <c r="T11" i="2" l="1"/>
  <c r="V10" i="2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T13" i="2"/>
  <c r="V12" i="2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P17" i="2"/>
  <c r="R16" i="2"/>
  <c r="P19" i="2"/>
  <c r="R18" i="2"/>
  <c r="Q19" i="2" l="1"/>
  <c r="S18" i="2"/>
  <c r="Q17" i="2"/>
  <c r="S16" i="2"/>
  <c r="R17" i="2" l="1"/>
  <c r="T16" i="2"/>
  <c r="R19" i="2"/>
  <c r="T18" i="2"/>
  <c r="S19" i="2" l="1"/>
  <c r="U18" i="2"/>
  <c r="S17" i="2"/>
  <c r="U16" i="2"/>
  <c r="T17" i="2" l="1"/>
  <c r="V16" i="2"/>
  <c r="W16" i="2" s="1"/>
  <c r="X16" i="2" s="1"/>
  <c r="Y16" i="2" s="1"/>
  <c r="Z16" i="2" s="1"/>
  <c r="AA16" i="2" s="1"/>
  <c r="T19" i="2"/>
  <c r="V18" i="2"/>
  <c r="W18" i="2" s="1"/>
  <c r="X18" i="2" s="1"/>
  <c r="Y18" i="2" s="1"/>
  <c r="Z18" i="2" s="1"/>
  <c r="AA1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<sst xmlns="http://schemas.openxmlformats.org/spreadsheetml/2006/main" count="19" uniqueCount="11">
  <si>
    <t>VERT = A COMPLETER</t>
  </si>
  <si>
    <t>&lt;--Semaine de départ</t>
  </si>
  <si>
    <t>&lt;--Semaine Deadline</t>
  </si>
  <si>
    <t>&lt;--Incrément nécessaires à la deadline pour livrer</t>
  </si>
  <si>
    <t>TEST</t>
  </si>
  <si>
    <t>Nombre d'incréments livrés</t>
  </si>
  <si>
    <t>semaines --&gt;</t>
  </si>
  <si>
    <t>Dimax : nouveau process de vente</t>
  </si>
  <si>
    <t>Iincréments --&gt;</t>
  </si>
  <si>
    <t>Diamant : nouveau process de vente</t>
  </si>
  <si>
    <t>EOLE (230 k€)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</si>
</sst>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[$€-40C]_-;\-* #,##0.00\ [$€-40C]_-;_-* &quot;-&quot;??\ [$€-40C]_-;_-@_-"/>
    <numFmt numFmtId="165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quotePrefix="1" applyFont="1" applyBorder="1" applyAlignment="1">
      <alignment horizontal="center" textRotation="90" wrapText="1"/>
    </xf>
    <xf numFmtId="0" fontId="3" fillId="0" borderId="0" xfId="0" quotePrefix="1" applyFont="1" applyAlignment="1">
      <alignment horizontal="center" textRotation="90" wrapText="1"/>
    </xf>
    <xf numFmtId="0" fontId="3" fillId="0" borderId="2" xfId="0" quotePrefix="1" applyFont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3" borderId="0" xfId="0" applyFont="1" applyFill="1"/>
    <xf numFmtId="0" fontId="0" fillId="2" borderId="0" xfId="0" applyFill="1"/>
    <xf numFmtId="0" fontId="3" fillId="0" borderId="0" xfId="0" applyFont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0" xfId="0" applyFont="1" applyFill="1"/>
    <xf numFmtId="0" fontId="0" fillId="0" borderId="2" xfId="0" applyBorder="1" applyAlignment="1">
      <alignment horizontal="right"/>
    </xf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165" fontId="0" fillId="0" borderId="0" xfId="0" applyNumberFormat="1"/>
    <xf numFmtId="165" fontId="0" fillId="2" borderId="1" xfId="1" applyNumberFormat="1" applyFont="1" applyFill="1" applyBorder="1"/>
    <xf numFmtId="165" fontId="0" fillId="2" borderId="2" xfId="1" applyNumberFormat="1" applyFont="1" applyFill="1" applyBorder="1"/>
    <xf numFmtId="165" fontId="3" fillId="0" borderId="0" xfId="1" applyNumberFormat="1" applyFont="1" applyAlignment="1">
      <alignment horizontal="right"/>
    </xf>
    <xf numFmtId="165" fontId="4" fillId="0" borderId="0" xfId="1" applyNumberFormat="1" applyFont="1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304800</xdr:rowOff>
    </xdr:from>
    <xdr:to>
      <xdr:col>20</xdr:col>
      <xdr:colOff>3810</xdr:colOff>
      <xdr:row>0</xdr:row>
      <xdr:rowOff>944880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61CBC17-7C29-4B20-A08A-E3037858A134}"/>
            </a:ext>
          </a:extLst>
        </xdr:cNvPr>
        <xdr:cNvSpPr txBox="1"/>
      </xdr:nvSpPr>
      <xdr:spPr>
        <a:xfrm>
          <a:off x="9730740" y="304800"/>
          <a:ext cx="1960245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100"/>
            <a:t>155 incréments pour le projet</a:t>
          </a:r>
          <a:r>
            <a:rPr lang="fr-FR" sz="1100" baseline="0"/>
            <a:t> </a:t>
          </a:r>
        </a:p>
        <a:p>
          <a:r>
            <a:rPr lang="fr-FR" sz="1100" baseline="0"/>
            <a:t>prescription minimum (par gamme et contact)</a:t>
          </a:r>
          <a:endParaRPr lang="fr-FR" sz="1100"/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20</v>
    <v>8</v>
    <v>0</v>
    <v>1</v>
  </rv>
  <rv s="0">
    <v>23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CD61-B600-41CC-9481-39F6B6AA7DDF}">
  <dimension ref="A1:BP22"/>
  <sheetViews>
    <sheetView tabSelected="1" workbookViewId="0"/>
  </sheetViews>
  <sheetFormatPr defaultColWidth="11.42578125" defaultRowHeight="15"/>
  <cols>
    <col min="1" max="1" width="32.7109375" bestFit="1" customWidth="1"/>
    <col min="2" max="2" width="7.85546875" style="8" bestFit="1" customWidth="1"/>
    <col min="3" max="3" width="8.85546875" style="5" bestFit="1" customWidth="1"/>
    <col min="4" max="4" width="5.85546875" style="9" customWidth="1"/>
    <col min="5" max="5" width="9.5703125" style="5" bestFit="1" customWidth="1"/>
    <col min="6" max="6" width="6" bestFit="1" customWidth="1"/>
    <col min="7" max="10" width="6.85546875" style="6" customWidth="1"/>
    <col min="11" max="17" width="7.7109375" style="6" customWidth="1"/>
    <col min="18" max="18" width="7.7109375" style="6" bestFit="1" customWidth="1"/>
    <col min="19" max="19" width="7.5703125" style="6" customWidth="1"/>
    <col min="20" max="20" width="7.7109375" style="6" bestFit="1" customWidth="1"/>
    <col min="21" max="21" width="9" style="6" customWidth="1"/>
    <col min="22" max="22" width="7.7109375" style="6" bestFit="1" customWidth="1"/>
    <col min="23" max="23" width="8.140625" style="6" customWidth="1"/>
    <col min="24" max="24" width="9.28515625" style="6" bestFit="1" customWidth="1"/>
    <col min="25" max="25" width="7.7109375" style="6" bestFit="1" customWidth="1"/>
    <col min="26" max="26" width="7.7109375" style="6" customWidth="1"/>
    <col min="27" max="27" width="7.7109375" style="6" bestFit="1" customWidth="1"/>
    <col min="28" max="28" width="7.28515625" style="6" customWidth="1"/>
    <col min="29" max="29" width="9" style="6" customWidth="1"/>
    <col min="30" max="30" width="8.140625" style="6" customWidth="1"/>
    <col min="31" max="31" width="7.7109375" style="6" bestFit="1" customWidth="1"/>
    <col min="32" max="35" width="4.140625" style="6" customWidth="1"/>
    <col min="36" max="38" width="3.140625" style="6" customWidth="1"/>
    <col min="39" max="39" width="4.42578125" style="6" customWidth="1"/>
    <col min="40" max="60" width="3.140625" style="6" customWidth="1"/>
    <col min="61" max="68" width="2" bestFit="1" customWidth="1"/>
  </cols>
  <sheetData>
    <row r="1" spans="1:68" ht="86.25" customHeight="1">
      <c r="A1" s="1" t="s">
        <v>0</v>
      </c>
      <c r="B1" s="2" t="s">
        <v>1</v>
      </c>
      <c r="C1" s="3" t="s">
        <v>2</v>
      </c>
      <c r="D1" s="4" t="s">
        <v>3</v>
      </c>
      <c r="S1" s="7"/>
      <c r="U1" s="7"/>
      <c r="V1" s="7"/>
      <c r="AF1" s="6" t="str">
        <f t="shared" ref="AF1:AI12" si="0">IF(AE1="","",IF(AE1=$C2,"",IF(AE1=52,1,AE1+1)))</f>
        <v/>
      </c>
      <c r="AG1" s="6" t="str">
        <f t="shared" si="0"/>
        <v/>
      </c>
    </row>
    <row r="2" spans="1:68" hidden="1">
      <c r="S2" s="10" t="e" cm="1" vm="1">
        <f t="array" aca="1" ref="S2" ca="1">OFFSET(F8,0,0,1,COUNTA(8:8))</f>
        <v>#VALUE!</v>
      </c>
      <c r="AF2" s="6" t="str">
        <f t="shared" si="0"/>
        <v/>
      </c>
      <c r="AG2" s="6" t="str">
        <f t="shared" si="0"/>
        <v/>
      </c>
    </row>
    <row r="3" spans="1:68" hidden="1">
      <c r="S3" s="10"/>
      <c r="AF3" s="6" t="str">
        <f t="shared" si="0"/>
        <v/>
      </c>
      <c r="AG3" s="6" t="str">
        <f t="shared" si="0"/>
        <v/>
      </c>
    </row>
    <row r="4" spans="1:68" hidden="1">
      <c r="S4" s="10" t="e" cm="1" vm="2">
        <f t="array" aca="1" ref="S4" ca="1">OFFSET(F9,0,0,1,COUNTA(9:9))</f>
        <v>#VALUE!</v>
      </c>
      <c r="AF4" s="6" t="str">
        <f t="shared" si="0"/>
        <v/>
      </c>
      <c r="AG4" s="6" t="str">
        <f t="shared" si="0"/>
        <v/>
      </c>
    </row>
    <row r="5" spans="1:68" hidden="1">
      <c r="S5" s="10"/>
      <c r="AF5" s="6" t="str">
        <f t="shared" si="0"/>
        <v/>
      </c>
      <c r="AG5" s="6" t="str">
        <f t="shared" si="0"/>
        <v/>
      </c>
    </row>
    <row r="6" spans="1:68" hidden="1">
      <c r="S6" s="10" t="e" cm="1" vm="1">
        <f t="array" aca="1" ref="S6" ca="1">ABSCOMTM</f>
        <v>#VALUE!</v>
      </c>
      <c r="AF6" s="6" t="str">
        <f t="shared" si="0"/>
        <v/>
      </c>
      <c r="AG6" s="6" t="str">
        <f t="shared" si="0"/>
        <v/>
      </c>
    </row>
    <row r="7" spans="1:68" hidden="1">
      <c r="S7" s="10" t="e" cm="1" vm="2">
        <f t="array" aca="1" ref="S7" ca="1">ORDOOMTM</f>
        <v>#VALUE!</v>
      </c>
      <c r="AF7" s="6" t="str">
        <f t="shared" si="0"/>
        <v/>
      </c>
      <c r="AG7" s="6" t="str">
        <f t="shared" si="0"/>
        <v/>
      </c>
    </row>
    <row r="8" spans="1:68" hidden="1">
      <c r="A8" s="11" t="s">
        <v>4</v>
      </c>
      <c r="E8" s="12"/>
      <c r="F8">
        <f>B9</f>
        <v>36</v>
      </c>
      <c r="G8" s="6">
        <f t="shared" ref="G8:W8" si="1">IF(F8="","",IF(F8+1&lt;=$C9,F8+1,""))</f>
        <v>37</v>
      </c>
      <c r="H8" s="6">
        <f t="shared" si="1"/>
        <v>38</v>
      </c>
      <c r="I8" s="6">
        <f t="shared" si="1"/>
        <v>39</v>
      </c>
      <c r="J8" s="6">
        <f t="shared" si="1"/>
        <v>40</v>
      </c>
      <c r="K8" s="6">
        <f t="shared" si="1"/>
        <v>41</v>
      </c>
      <c r="L8" s="6">
        <f t="shared" si="1"/>
        <v>42</v>
      </c>
      <c r="M8" s="6">
        <f t="shared" si="1"/>
        <v>43</v>
      </c>
      <c r="N8" s="6">
        <f t="shared" si="1"/>
        <v>44</v>
      </c>
      <c r="O8" s="6">
        <f t="shared" si="1"/>
        <v>45</v>
      </c>
      <c r="P8" s="6">
        <f t="shared" si="1"/>
        <v>46</v>
      </c>
      <c r="Q8" s="6">
        <f t="shared" si="1"/>
        <v>47</v>
      </c>
      <c r="R8" s="6">
        <f t="shared" si="1"/>
        <v>48</v>
      </c>
      <c r="S8" s="6">
        <f t="shared" si="1"/>
        <v>49</v>
      </c>
      <c r="T8" s="6">
        <f t="shared" si="1"/>
        <v>50</v>
      </c>
      <c r="U8" s="6" t="str">
        <f t="shared" si="1"/>
        <v/>
      </c>
      <c r="V8" s="6" t="str">
        <f t="shared" si="1"/>
        <v/>
      </c>
      <c r="W8" s="6" t="str">
        <f t="shared" si="1"/>
        <v/>
      </c>
      <c r="AF8" s="6" t="str">
        <f t="shared" si="0"/>
        <v/>
      </c>
      <c r="AG8" s="6" t="str">
        <f t="shared" si="0"/>
        <v/>
      </c>
    </row>
    <row r="9" spans="1:68" hidden="1">
      <c r="A9" t="s">
        <v>5</v>
      </c>
      <c r="B9" s="13">
        <v>36</v>
      </c>
      <c r="C9" s="14">
        <v>50</v>
      </c>
      <c r="D9" s="15">
        <v>85</v>
      </c>
      <c r="E9" s="14"/>
      <c r="F9">
        <v>0</v>
      </c>
      <c r="G9" s="16">
        <v>3</v>
      </c>
      <c r="H9" s="16">
        <v>11</v>
      </c>
      <c r="I9" s="16">
        <v>15</v>
      </c>
      <c r="J9" s="16">
        <v>17</v>
      </c>
      <c r="K9" s="16">
        <v>20</v>
      </c>
      <c r="L9" s="16">
        <v>30</v>
      </c>
      <c r="M9" s="16" t="e">
        <f t="shared" ref="M9:W9" si="2">IF(N8="",IF(M8&lt;&gt;"",$D9,NA()),NA())</f>
        <v>#N/A</v>
      </c>
      <c r="N9" s="16" t="e">
        <f t="shared" si="2"/>
        <v>#N/A</v>
      </c>
      <c r="O9" s="16" t="e">
        <f t="shared" si="2"/>
        <v>#N/A</v>
      </c>
      <c r="P9" s="16" t="e">
        <f t="shared" si="2"/>
        <v>#N/A</v>
      </c>
      <c r="Q9" s="16" t="e">
        <f t="shared" si="2"/>
        <v>#N/A</v>
      </c>
      <c r="R9" s="16" t="e">
        <f t="shared" si="2"/>
        <v>#N/A</v>
      </c>
      <c r="S9" s="16" t="e">
        <f t="shared" si="2"/>
        <v>#N/A</v>
      </c>
      <c r="T9" s="16">
        <f t="shared" si="2"/>
        <v>85</v>
      </c>
      <c r="U9" s="16" t="e">
        <f t="shared" si="2"/>
        <v>#N/A</v>
      </c>
      <c r="V9" s="16" t="e">
        <f t="shared" si="2"/>
        <v>#N/A</v>
      </c>
      <c r="W9" s="16" t="e">
        <f t="shared" si="2"/>
        <v>#N/A</v>
      </c>
      <c r="AF9" s="6" t="str">
        <f t="shared" si="0"/>
        <v/>
      </c>
      <c r="AG9" s="6" t="str">
        <f t="shared" si="0"/>
        <v/>
      </c>
    </row>
    <row r="10" spans="1:68">
      <c r="D10" s="17"/>
      <c r="E10" s="18" t="s">
        <v>6</v>
      </c>
      <c r="F10">
        <f>B11</f>
        <v>26</v>
      </c>
      <c r="G10" s="6">
        <f>IF(F10="","",IF(F10=$C11,"",IF(F10=52,1,F10+1)))</f>
        <v>27</v>
      </c>
      <c r="H10" s="6">
        <f t="shared" ref="H10:AE10" si="3">IF(G10="","",IF(G10=$C11,"",IF(G10=52,1,G10+1)))</f>
        <v>28</v>
      </c>
      <c r="I10" s="6">
        <f t="shared" si="3"/>
        <v>29</v>
      </c>
      <c r="J10" s="6">
        <f>IF(I10="","",IF(I10=$C11,"",IF(I10=52,1,I10+1)))</f>
        <v>30</v>
      </c>
      <c r="K10" s="6">
        <f t="shared" si="3"/>
        <v>31</v>
      </c>
      <c r="L10" s="6">
        <f t="shared" si="3"/>
        <v>32</v>
      </c>
      <c r="M10" s="6">
        <f t="shared" si="3"/>
        <v>33</v>
      </c>
      <c r="N10" s="6">
        <f t="shared" si="3"/>
        <v>34</v>
      </c>
      <c r="O10" s="6">
        <f t="shared" si="3"/>
        <v>35</v>
      </c>
      <c r="P10" s="6">
        <f t="shared" si="3"/>
        <v>36</v>
      </c>
      <c r="Q10" s="6">
        <f t="shared" si="3"/>
        <v>37</v>
      </c>
      <c r="R10" s="6">
        <f t="shared" si="3"/>
        <v>38</v>
      </c>
      <c r="S10" s="6">
        <f t="shared" si="3"/>
        <v>39</v>
      </c>
      <c r="T10" s="6">
        <f t="shared" si="3"/>
        <v>40</v>
      </c>
      <c r="U10" s="6" t="str">
        <f t="shared" si="3"/>
        <v/>
      </c>
      <c r="V10" s="6" t="str">
        <f t="shared" si="3"/>
        <v/>
      </c>
      <c r="W10" s="6" t="str">
        <f t="shared" si="3"/>
        <v/>
      </c>
      <c r="X10" s="6" t="str">
        <f t="shared" si="3"/>
        <v/>
      </c>
      <c r="Y10" s="6" t="str">
        <f t="shared" si="3"/>
        <v/>
      </c>
      <c r="Z10" s="6" t="str">
        <f t="shared" si="3"/>
        <v/>
      </c>
      <c r="AA10" s="6" t="str">
        <f t="shared" si="3"/>
        <v/>
      </c>
      <c r="AB10" s="6" t="str">
        <f t="shared" si="3"/>
        <v/>
      </c>
      <c r="AC10" s="6" t="str">
        <f t="shared" si="3"/>
        <v/>
      </c>
      <c r="AD10" s="6" t="str">
        <f t="shared" si="3"/>
        <v/>
      </c>
      <c r="AE10" s="6" t="str">
        <f t="shared" si="3"/>
        <v/>
      </c>
      <c r="AF10" s="6" t="str">
        <f t="shared" si="0"/>
        <v/>
      </c>
      <c r="AG10" s="6" t="str">
        <f t="shared" si="0"/>
        <v/>
      </c>
      <c r="BI10" s="6"/>
      <c r="BJ10" s="6"/>
      <c r="BK10" s="6"/>
      <c r="BL10" s="6"/>
      <c r="BM10" s="6"/>
      <c r="BN10" s="6"/>
      <c r="BO10" s="6"/>
      <c r="BP10" s="6"/>
    </row>
    <row r="11" spans="1:68">
      <c r="A11" s="11" t="s">
        <v>7</v>
      </c>
      <c r="B11" s="19">
        <v>26</v>
      </c>
      <c r="C11" s="11">
        <v>40</v>
      </c>
      <c r="D11" s="20">
        <v>264</v>
      </c>
      <c r="E11" s="18" t="s">
        <v>8</v>
      </c>
      <c r="F11" s="16">
        <v>0</v>
      </c>
      <c r="G11" s="16">
        <v>0</v>
      </c>
      <c r="H11" s="16">
        <v>0</v>
      </c>
      <c r="I11" s="16">
        <v>0</v>
      </c>
      <c r="J11" s="16" t="e">
        <f t="shared" ref="J11" si="4">IF(K10="",IF(J10&lt;&gt;"",$D11,NA()),NA())</f>
        <v>#N/A</v>
      </c>
      <c r="K11" s="16" t="e">
        <f>IF(L10="",IF(K10&lt;&gt;"",$D11,NA()),NA())</f>
        <v>#N/A</v>
      </c>
      <c r="L11" s="16" t="e">
        <f t="shared" ref="L11:T11" si="5">IF(M10="",IF(L10&lt;&gt;"",$D11,NA()),NA())</f>
        <v>#N/A</v>
      </c>
      <c r="M11" s="16" t="e">
        <f t="shared" si="5"/>
        <v>#N/A</v>
      </c>
      <c r="N11" s="16" t="e">
        <f t="shared" si="5"/>
        <v>#N/A</v>
      </c>
      <c r="O11" s="16" t="e">
        <f t="shared" si="5"/>
        <v>#N/A</v>
      </c>
      <c r="P11" s="16" t="e">
        <f t="shared" si="5"/>
        <v>#N/A</v>
      </c>
      <c r="Q11" s="16" t="e">
        <f t="shared" si="5"/>
        <v>#N/A</v>
      </c>
      <c r="R11" s="16" t="e">
        <f t="shared" si="5"/>
        <v>#N/A</v>
      </c>
      <c r="S11" s="16" t="e">
        <f t="shared" si="5"/>
        <v>#N/A</v>
      </c>
      <c r="T11" s="16">
        <f t="shared" si="5"/>
        <v>264</v>
      </c>
    </row>
    <row r="12" spans="1:68">
      <c r="D12" s="17"/>
      <c r="E12" s="18" t="s">
        <v>6</v>
      </c>
      <c r="F12">
        <f>B13</f>
        <v>26</v>
      </c>
      <c r="G12" s="6">
        <f>IF(F12="","",IF(F12=$C13,"",IF(F12=52,1,F12+1)))</f>
        <v>27</v>
      </c>
      <c r="H12" s="6">
        <f t="shared" ref="H12:AE12" si="6">IF(G12="","",IF(G12=$C13,"",IF(G12=52,1,G12+1)))</f>
        <v>28</v>
      </c>
      <c r="I12" s="6">
        <f t="shared" si="6"/>
        <v>29</v>
      </c>
      <c r="J12" s="6">
        <f t="shared" si="6"/>
        <v>30</v>
      </c>
      <c r="K12" s="6">
        <f t="shared" si="6"/>
        <v>31</v>
      </c>
      <c r="L12" s="6">
        <f t="shared" si="6"/>
        <v>32</v>
      </c>
      <c r="M12" s="6">
        <f t="shared" si="6"/>
        <v>33</v>
      </c>
      <c r="N12" s="6">
        <f t="shared" si="6"/>
        <v>34</v>
      </c>
      <c r="O12" s="6">
        <f t="shared" si="6"/>
        <v>35</v>
      </c>
      <c r="P12" s="6">
        <f t="shared" si="6"/>
        <v>36</v>
      </c>
      <c r="Q12" s="6">
        <f t="shared" si="6"/>
        <v>37</v>
      </c>
      <c r="R12" s="6">
        <f t="shared" si="6"/>
        <v>38</v>
      </c>
      <c r="S12" s="6">
        <f t="shared" si="6"/>
        <v>39</v>
      </c>
      <c r="T12" s="6">
        <f t="shared" si="6"/>
        <v>40</v>
      </c>
      <c r="U12" s="6" t="str">
        <f t="shared" si="6"/>
        <v/>
      </c>
      <c r="V12" s="6" t="str">
        <f t="shared" si="6"/>
        <v/>
      </c>
      <c r="W12" s="6" t="str">
        <f t="shared" si="6"/>
        <v/>
      </c>
      <c r="X12" s="6" t="str">
        <f t="shared" si="6"/>
        <v/>
      </c>
      <c r="Y12" s="6" t="str">
        <f t="shared" si="6"/>
        <v/>
      </c>
      <c r="Z12" s="6" t="str">
        <f t="shared" si="6"/>
        <v/>
      </c>
      <c r="AA12" s="6" t="str">
        <f t="shared" si="6"/>
        <v/>
      </c>
      <c r="AB12" s="6" t="str">
        <f t="shared" si="6"/>
        <v/>
      </c>
      <c r="AC12" s="6" t="str">
        <f t="shared" si="6"/>
        <v/>
      </c>
      <c r="AD12" s="6" t="str">
        <f t="shared" si="6"/>
        <v/>
      </c>
      <c r="AE12" s="6" t="str">
        <f t="shared" si="6"/>
        <v/>
      </c>
      <c r="AF12" s="6" t="str">
        <f t="shared" si="0"/>
        <v/>
      </c>
      <c r="AG12" s="6" t="str">
        <f t="shared" si="0"/>
        <v/>
      </c>
      <c r="AH12" s="6" t="str">
        <f t="shared" si="0"/>
        <v/>
      </c>
      <c r="AI12" s="6" t="str">
        <f t="shared" si="0"/>
        <v/>
      </c>
    </row>
    <row r="13" spans="1:68">
      <c r="A13" s="11" t="s">
        <v>9</v>
      </c>
      <c r="B13" s="19">
        <v>26</v>
      </c>
      <c r="C13" s="11">
        <v>40</v>
      </c>
      <c r="D13" s="20">
        <v>150</v>
      </c>
      <c r="E13" s="18" t="s">
        <v>8</v>
      </c>
      <c r="F13" s="16">
        <v>1</v>
      </c>
      <c r="G13" s="16">
        <f>F13+7</f>
        <v>8</v>
      </c>
      <c r="H13" s="16">
        <f>G13+3</f>
        <v>11</v>
      </c>
      <c r="I13" s="16">
        <f>H13+8</f>
        <v>19</v>
      </c>
      <c r="J13" s="16" t="e">
        <f t="shared" ref="J13:T13" si="7">IF(K12="",IF(J12&lt;&gt;"",$D13,NA()),NA())</f>
        <v>#N/A</v>
      </c>
      <c r="K13" s="16" t="e">
        <f t="shared" si="7"/>
        <v>#N/A</v>
      </c>
      <c r="L13" s="16" t="e">
        <f t="shared" si="7"/>
        <v>#N/A</v>
      </c>
      <c r="M13" s="16" t="e">
        <f t="shared" si="7"/>
        <v>#N/A</v>
      </c>
      <c r="N13" s="16" t="e">
        <f t="shared" si="7"/>
        <v>#N/A</v>
      </c>
      <c r="O13" s="16" t="e">
        <f t="shared" si="7"/>
        <v>#N/A</v>
      </c>
      <c r="P13" s="16" t="e">
        <f t="shared" si="7"/>
        <v>#N/A</v>
      </c>
      <c r="Q13" s="16" t="e">
        <f t="shared" si="7"/>
        <v>#N/A</v>
      </c>
      <c r="R13" s="16" t="e">
        <f t="shared" si="7"/>
        <v>#N/A</v>
      </c>
      <c r="S13" s="16" t="e">
        <f t="shared" si="7"/>
        <v>#N/A</v>
      </c>
      <c r="T13" s="16">
        <f t="shared" si="7"/>
        <v>150</v>
      </c>
    </row>
    <row r="14" spans="1:68">
      <c r="E14" s="18" t="s">
        <v>6</v>
      </c>
      <c r="F14">
        <f>B15</f>
        <v>26</v>
      </c>
      <c r="G14" s="6">
        <f>IF(F14="","",IF(F14=$C15,"",IF(F14=52,1,F14+1)))</f>
        <v>27</v>
      </c>
      <c r="H14" s="6">
        <f t="shared" ref="H14:T14" si="8">IF(G14="","",IF(G14=$C15,"",IF(G14=52,1,G14+1)))</f>
        <v>28</v>
      </c>
      <c r="I14" s="6">
        <f t="shared" si="8"/>
        <v>29</v>
      </c>
      <c r="J14" s="6">
        <f t="shared" si="8"/>
        <v>30</v>
      </c>
      <c r="K14" s="6">
        <f t="shared" si="8"/>
        <v>31</v>
      </c>
      <c r="L14" s="6">
        <f t="shared" si="8"/>
        <v>32</v>
      </c>
      <c r="M14" s="6">
        <f t="shared" si="8"/>
        <v>33</v>
      </c>
      <c r="N14" s="6">
        <f t="shared" si="8"/>
        <v>34</v>
      </c>
      <c r="O14" s="6">
        <f t="shared" si="8"/>
        <v>35</v>
      </c>
      <c r="P14" s="6">
        <f t="shared" si="8"/>
        <v>36</v>
      </c>
      <c r="Q14" s="6">
        <f t="shared" si="8"/>
        <v>37</v>
      </c>
      <c r="R14" s="6">
        <f t="shared" si="8"/>
        <v>38</v>
      </c>
      <c r="S14" s="6">
        <f t="shared" si="8"/>
        <v>39</v>
      </c>
      <c r="T14" s="6">
        <f t="shared" si="8"/>
        <v>40</v>
      </c>
    </row>
    <row r="15" spans="1:68">
      <c r="A15" s="11" t="s">
        <v>10</v>
      </c>
      <c r="B15" s="19">
        <v>26</v>
      </c>
      <c r="C15" s="11">
        <v>40</v>
      </c>
      <c r="D15" s="20">
        <v>50</v>
      </c>
      <c r="E15" s="18" t="s">
        <v>8</v>
      </c>
      <c r="F15" s="16">
        <v>1</v>
      </c>
      <c r="G15" s="16">
        <v>2</v>
      </c>
      <c r="H15" s="16">
        <v>3</v>
      </c>
      <c r="I15" s="16">
        <v>3</v>
      </c>
      <c r="J15" s="16" t="e">
        <f t="shared" ref="J15:T15" si="9">IF(K14="",IF(J14&lt;&gt;"",$D15,NA()),NA())</f>
        <v>#N/A</v>
      </c>
      <c r="K15" s="16" t="e">
        <f t="shared" si="9"/>
        <v>#N/A</v>
      </c>
      <c r="L15" s="16" t="e">
        <f t="shared" si="9"/>
        <v>#N/A</v>
      </c>
      <c r="M15" s="16" t="e">
        <f t="shared" si="9"/>
        <v>#N/A</v>
      </c>
      <c r="N15" s="16" t="e">
        <f t="shared" si="9"/>
        <v>#N/A</v>
      </c>
      <c r="O15" s="16" t="e">
        <f t="shared" si="9"/>
        <v>#N/A</v>
      </c>
      <c r="P15" s="16" t="e">
        <f t="shared" si="9"/>
        <v>#N/A</v>
      </c>
      <c r="Q15" s="16" t="e">
        <f t="shared" si="9"/>
        <v>#N/A</v>
      </c>
      <c r="R15" s="16" t="e">
        <f t="shared" si="9"/>
        <v>#N/A</v>
      </c>
      <c r="S15" s="16" t="e">
        <f t="shared" si="9"/>
        <v>#N/A</v>
      </c>
      <c r="T15" s="16">
        <f t="shared" si="9"/>
        <v>50</v>
      </c>
    </row>
    <row r="16" spans="1:68">
      <c r="D16" s="17"/>
      <c r="E16" s="18" t="s">
        <v>6</v>
      </c>
      <c r="F16">
        <f>B17</f>
        <v>0</v>
      </c>
      <c r="G16" s="6" t="str">
        <f t="shared" ref="G16:R16" si="10">IF(F16="","",IF(F16=$C17,"",IF(F16=52,1,F16+1)))</f>
        <v/>
      </c>
      <c r="H16" s="6" t="str">
        <f t="shared" si="10"/>
        <v/>
      </c>
      <c r="I16" s="6" t="str">
        <f t="shared" si="10"/>
        <v/>
      </c>
      <c r="J16" s="6" t="str">
        <f t="shared" si="10"/>
        <v/>
      </c>
      <c r="K16" s="6" t="str">
        <f t="shared" si="10"/>
        <v/>
      </c>
      <c r="L16" s="6" t="str">
        <f t="shared" si="10"/>
        <v/>
      </c>
      <c r="M16" s="6" t="str">
        <f t="shared" si="10"/>
        <v/>
      </c>
      <c r="N16" s="6" t="str">
        <f t="shared" si="10"/>
        <v/>
      </c>
      <c r="O16" s="6" t="str">
        <f t="shared" si="10"/>
        <v/>
      </c>
      <c r="P16" s="6" t="str">
        <f t="shared" si="10"/>
        <v/>
      </c>
      <c r="Q16" s="6" t="str">
        <f t="shared" si="10"/>
        <v/>
      </c>
      <c r="R16" s="6" t="str">
        <f t="shared" si="10"/>
        <v/>
      </c>
      <c r="S16" s="6" t="str">
        <f t="shared" ref="S16:AA16" si="11">IF(R16="","",IF(R16=$C19,"",IF(R16=52,1,R16+1)))</f>
        <v/>
      </c>
      <c r="T16" s="6" t="str">
        <f t="shared" si="11"/>
        <v/>
      </c>
      <c r="U16" s="6" t="str">
        <f t="shared" si="11"/>
        <v/>
      </c>
      <c r="V16" s="6" t="str">
        <f t="shared" si="11"/>
        <v/>
      </c>
      <c r="W16" s="6" t="str">
        <f t="shared" si="11"/>
        <v/>
      </c>
      <c r="X16" s="6" t="str">
        <f t="shared" si="11"/>
        <v/>
      </c>
      <c r="Y16" s="6" t="str">
        <f t="shared" si="11"/>
        <v/>
      </c>
      <c r="Z16" s="6" t="str">
        <f t="shared" si="11"/>
        <v/>
      </c>
      <c r="AA16" s="6" t="str">
        <f t="shared" si="11"/>
        <v/>
      </c>
    </row>
    <row r="17" spans="1:60">
      <c r="A17" s="11"/>
      <c r="B17" s="19"/>
      <c r="C17" s="11"/>
      <c r="D17" s="20"/>
      <c r="E17" s="18" t="s">
        <v>8</v>
      </c>
      <c r="F17" s="16">
        <f t="shared" ref="F17:T17" si="12">IF(G16="",IF(F16&lt;&gt;"",$D17,NA()),NA())</f>
        <v>0</v>
      </c>
      <c r="G17" s="16" t="e">
        <f t="shared" si="12"/>
        <v>#N/A</v>
      </c>
      <c r="H17" s="16" t="e">
        <f t="shared" si="12"/>
        <v>#N/A</v>
      </c>
      <c r="I17" s="16" t="e">
        <f t="shared" si="12"/>
        <v>#N/A</v>
      </c>
      <c r="J17" s="16" t="e">
        <f t="shared" si="12"/>
        <v>#N/A</v>
      </c>
      <c r="K17" s="16" t="e">
        <f t="shared" si="12"/>
        <v>#N/A</v>
      </c>
      <c r="L17" s="16" t="e">
        <f t="shared" si="12"/>
        <v>#N/A</v>
      </c>
      <c r="M17" s="16" t="e">
        <f t="shared" si="12"/>
        <v>#N/A</v>
      </c>
      <c r="N17" s="16" t="e">
        <f t="shared" si="12"/>
        <v>#N/A</v>
      </c>
      <c r="O17" s="16" t="e">
        <f t="shared" si="12"/>
        <v>#N/A</v>
      </c>
      <c r="P17" s="16" t="e">
        <f t="shared" si="12"/>
        <v>#N/A</v>
      </c>
      <c r="Q17" s="16" t="e">
        <f t="shared" si="12"/>
        <v>#N/A</v>
      </c>
      <c r="R17" s="16" t="e">
        <f t="shared" si="12"/>
        <v>#N/A</v>
      </c>
      <c r="S17" s="16" t="e">
        <f t="shared" si="12"/>
        <v>#N/A</v>
      </c>
      <c r="T17" s="16" t="e">
        <f t="shared" si="12"/>
        <v>#N/A</v>
      </c>
    </row>
    <row r="18" spans="1:60">
      <c r="D18" s="17"/>
      <c r="E18" s="18" t="s">
        <v>6</v>
      </c>
      <c r="F18" s="21">
        <f>B19</f>
        <v>0</v>
      </c>
      <c r="G18" s="6" t="str">
        <f t="shared" ref="G18:AA18" si="13">IF(F18="","",IF(F18=$C19,"",IF(F18=52,1,F18+1)))</f>
        <v/>
      </c>
      <c r="H18" s="6" t="str">
        <f t="shared" si="13"/>
        <v/>
      </c>
      <c r="I18" s="6" t="str">
        <f t="shared" si="13"/>
        <v/>
      </c>
      <c r="J18" s="6" t="str">
        <f t="shared" si="13"/>
        <v/>
      </c>
      <c r="K18" s="6" t="str">
        <f t="shared" si="13"/>
        <v/>
      </c>
      <c r="L18" s="6" t="str">
        <f t="shared" si="13"/>
        <v/>
      </c>
      <c r="M18" s="6" t="str">
        <f t="shared" si="13"/>
        <v/>
      </c>
      <c r="N18" s="6" t="str">
        <f t="shared" si="13"/>
        <v/>
      </c>
      <c r="O18" s="6" t="str">
        <f t="shared" si="13"/>
        <v/>
      </c>
      <c r="P18" s="6" t="str">
        <f t="shared" si="13"/>
        <v/>
      </c>
      <c r="Q18" s="6" t="str">
        <f t="shared" si="13"/>
        <v/>
      </c>
      <c r="R18" s="6" t="str">
        <f t="shared" si="13"/>
        <v/>
      </c>
      <c r="S18" s="6" t="str">
        <f t="shared" si="13"/>
        <v/>
      </c>
      <c r="T18" s="6" t="str">
        <f t="shared" si="13"/>
        <v/>
      </c>
      <c r="U18" s="6" t="str">
        <f t="shared" si="13"/>
        <v/>
      </c>
      <c r="V18" s="6" t="str">
        <f t="shared" si="13"/>
        <v/>
      </c>
      <c r="W18" s="6" t="str">
        <f t="shared" si="13"/>
        <v/>
      </c>
      <c r="X18" s="6" t="str">
        <f t="shared" si="13"/>
        <v/>
      </c>
      <c r="Y18" s="6" t="str">
        <f t="shared" si="13"/>
        <v/>
      </c>
      <c r="Z18" s="6" t="str">
        <f t="shared" si="13"/>
        <v/>
      </c>
      <c r="AA18" s="6" t="str">
        <f t="shared" si="13"/>
        <v/>
      </c>
    </row>
    <row r="19" spans="1:60" s="26" customFormat="1">
      <c r="A19" s="11"/>
      <c r="B19" s="22"/>
      <c r="C19" s="11"/>
      <c r="D19" s="23"/>
      <c r="E19" s="24" t="s">
        <v>8</v>
      </c>
      <c r="F19" s="16">
        <f t="shared" ref="F19:T19" si="14">IF(G18="",IF(F18&lt;&gt;"",$D19,NA()),NA())</f>
        <v>0</v>
      </c>
      <c r="G19" s="16" t="e">
        <f t="shared" si="14"/>
        <v>#N/A</v>
      </c>
      <c r="H19" s="16" t="e">
        <f t="shared" si="14"/>
        <v>#N/A</v>
      </c>
      <c r="I19" s="16" t="e">
        <f t="shared" si="14"/>
        <v>#N/A</v>
      </c>
      <c r="J19" s="16" t="e">
        <f t="shared" si="14"/>
        <v>#N/A</v>
      </c>
      <c r="K19" s="16" t="e">
        <f t="shared" si="14"/>
        <v>#N/A</v>
      </c>
      <c r="L19" s="16" t="e">
        <f t="shared" si="14"/>
        <v>#N/A</v>
      </c>
      <c r="M19" s="16" t="e">
        <f t="shared" si="14"/>
        <v>#N/A</v>
      </c>
      <c r="N19" s="16" t="e">
        <f t="shared" si="14"/>
        <v>#N/A</v>
      </c>
      <c r="O19" s="16" t="e">
        <f t="shared" si="14"/>
        <v>#N/A</v>
      </c>
      <c r="P19" s="16" t="e">
        <f t="shared" si="14"/>
        <v>#N/A</v>
      </c>
      <c r="Q19" s="16" t="e">
        <f t="shared" si="14"/>
        <v>#N/A</v>
      </c>
      <c r="R19" s="16" t="e">
        <f t="shared" si="14"/>
        <v>#N/A</v>
      </c>
      <c r="S19" s="16" t="e">
        <f t="shared" si="14"/>
        <v>#N/A</v>
      </c>
      <c r="T19" s="16" t="e">
        <f t="shared" si="14"/>
        <v>#N/A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2" spans="1:60">
      <c r="R22" s="7"/>
      <c r="T2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Julien RABALLAND</cp:lastModifiedBy>
  <cp:revision/>
  <dcterms:created xsi:type="dcterms:W3CDTF">2026-07-21T11:33:52Z</dcterms:created>
  <dcterms:modified xsi:type="dcterms:W3CDTF">2026-07-21T11:34:39Z</dcterms:modified>
  <cp:category/>
  <cp:contentStatus/>
</cp:coreProperties>
</file>