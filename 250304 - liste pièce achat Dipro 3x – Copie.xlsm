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imos44.sharepoint.com/sites/Produits2/Documents partages/Groupe_Produit/Machines/Profileuses/Dipro3x/Achats/Etude nomenclature/"/>
    </mc:Choice>
  </mc:AlternateContent>
  <xr:revisionPtr revIDLastSave="0" documentId="8_{73757477-5E5A-4B5F-9A58-3399A0B20AAA}" xr6:coauthVersionLast="47" xr6:coauthVersionMax="47" xr10:uidLastSave="{00000000-0000-0000-0000-000000000000}"/>
  <bookViews>
    <workbookView xWindow="-120" yWindow="-120" windowWidth="57840" windowHeight="23025" firstSheet="2" activeTab="2" xr2:uid="{48307A5E-1625-4ED4-B729-88DAC39969B8}"/>
  </bookViews>
  <sheets>
    <sheet name="Feuil1" sheetId="2" state="hidden" r:id="rId1"/>
    <sheet name="data" sheetId="1" r:id="rId2"/>
    <sheet name="Compte rendu fin de semaine" sheetId="19" r:id="rId3"/>
    <sheet name="Feuil2" sheetId="23" r:id="rId4"/>
    <sheet name="Benchmarking Train D vs J" sheetId="8" r:id="rId5"/>
    <sheet name="Cost Killing VS Alignement" sheetId="21" r:id="rId6"/>
    <sheet name="comparatif Chassis" sheetId="22" r:id="rId7"/>
    <sheet name="RFQ" sheetId="5" r:id="rId8"/>
    <sheet name="Comparatif Train fixe D v J v S" sheetId="15" r:id="rId9"/>
    <sheet name="Comparatif Train mobi D v J v S" sheetId="16" r:id="rId10"/>
    <sheet name="Comparatif ensemble moteur" sheetId="17" r:id="rId11"/>
    <sheet name="Comparatif Trans+chassis D vs J" sheetId="9" r:id="rId12"/>
    <sheet name="Comparatif Transmission D vs J" sheetId="11" r:id="rId13"/>
    <sheet name="Bench marking (D vs J vs S" sheetId="3" r:id="rId14"/>
    <sheet name="Point ASM2" sheetId="4" r:id="rId15"/>
    <sheet name="RFQ pignon" sheetId="20" r:id="rId16"/>
    <sheet name="€ train V2.4" sheetId="18" r:id="rId17"/>
    <sheet name="Pignon" sheetId="12" state="hidden" r:id="rId18"/>
  </sheets>
  <definedNames>
    <definedName name="_xlnm._FilterDatabase" localSheetId="7" hidden="1">RFQ!$J$25:$Q$25</definedName>
    <definedName name="_xleta.TYPE" hidden="1" xlm="1">#NAME?</definedName>
    <definedName name="_xlnm.Print_Area" localSheetId="2">'Compte rendu fin de semaine'!$A$1:$H$20</definedName>
  </definedNames>
  <calcPr calcId="191028"/>
  <pivotCaches>
    <pivotCache cacheId="281"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 i="17" l="1"/>
  <c r="S6" i="17"/>
  <c r="T6" i="17"/>
  <c r="U6" i="17"/>
  <c r="V6" i="17"/>
  <c r="Q4" i="17"/>
  <c r="Q20" i="15"/>
  <c r="Q19" i="15"/>
  <c r="I37" i="5"/>
  <c r="Q37" i="5"/>
  <c r="T74" i="15"/>
  <c r="T73" i="15"/>
  <c r="Q73" i="15"/>
  <c r="Q74" i="15"/>
  <c r="P74" i="15"/>
  <c r="T54" i="16"/>
  <c r="P73" i="15"/>
  <c r="T53" i="16"/>
  <c r="U63" i="15"/>
  <c r="V16" i="16"/>
  <c r="V19" i="16"/>
  <c r="V24" i="16"/>
  <c r="V44" i="16"/>
  <c r="V52" i="16"/>
  <c r="V58" i="16"/>
  <c r="V64" i="16"/>
  <c r="P16" i="16"/>
  <c r="P19" i="16"/>
  <c r="P24" i="16"/>
  <c r="P52" i="16"/>
  <c r="P58" i="16"/>
  <c r="T2" i="16" s="1"/>
  <c r="P64" i="16"/>
  <c r="V24" i="15"/>
  <c r="V27" i="15"/>
  <c r="V32" i="15"/>
  <c r="V63" i="15"/>
  <c r="V72" i="15"/>
  <c r="V78" i="15"/>
  <c r="V84" i="15"/>
  <c r="P24" i="15"/>
  <c r="P27" i="15"/>
  <c r="P32" i="15"/>
  <c r="P72" i="15"/>
  <c r="P78" i="15"/>
  <c r="T2" i="15" s="1"/>
  <c r="U1" i="15" s="1"/>
  <c r="P84" i="15"/>
  <c r="J24" i="15"/>
  <c r="AS12" i="19"/>
  <c r="G2" i="9"/>
  <c r="S2" i="9"/>
  <c r="Y2" i="9"/>
  <c r="U15" i="9"/>
  <c r="O15" i="9"/>
  <c r="C15" i="9"/>
  <c r="C8" i="9"/>
  <c r="H12" i="22"/>
  <c r="O11" i="22"/>
  <c r="O6" i="22"/>
  <c r="G11" i="22"/>
  <c r="G7" i="22"/>
  <c r="G8" i="22"/>
  <c r="G9" i="22"/>
  <c r="G10" i="22"/>
  <c r="G6" i="22"/>
  <c r="AS9" i="19"/>
  <c r="Q35" i="5"/>
  <c r="I35" i="5"/>
  <c r="I36" i="5"/>
  <c r="AS8" i="19"/>
  <c r="M2" i="17"/>
  <c r="AS13" i="19"/>
  <c r="AS10" i="19"/>
  <c r="AB9" i="19"/>
  <c r="AM14" i="19"/>
  <c r="C2" i="21"/>
  <c r="C3" i="21"/>
  <c r="C4" i="21"/>
  <c r="C5" i="21"/>
  <c r="C6" i="21"/>
  <c r="C7" i="21"/>
  <c r="AE11" i="19"/>
  <c r="AE9" i="19"/>
  <c r="AE15" i="19" s="1"/>
  <c r="L6" i="21" s="1"/>
  <c r="AE8" i="19"/>
  <c r="W5" i="19"/>
  <c r="V12" i="19"/>
  <c r="V15" i="19" s="1"/>
  <c r="K5" i="21" s="1"/>
  <c r="N15" i="19"/>
  <c r="F12" i="19"/>
  <c r="F13" i="19"/>
  <c r="F14" i="19"/>
  <c r="F7" i="19"/>
  <c r="F6" i="19"/>
  <c r="F5" i="19"/>
  <c r="F15" i="19" s="1"/>
  <c r="K10" i="21"/>
  <c r="J2" i="21"/>
  <c r="I2" i="21"/>
  <c r="I3" i="21" s="1"/>
  <c r="I4" i="21" s="1"/>
  <c r="I5" i="21" s="1"/>
  <c r="I6" i="21" s="1"/>
  <c r="I7" i="21" s="1"/>
  <c r="G2" i="21"/>
  <c r="AN17" i="19"/>
  <c r="AM17" i="19"/>
  <c r="AN3" i="19"/>
  <c r="AM3" i="19"/>
  <c r="AJ6" i="19"/>
  <c r="AL6" i="19" s="1"/>
  <c r="AJ7" i="19"/>
  <c r="AL7" i="19" s="1"/>
  <c r="AK7" i="19"/>
  <c r="AJ11" i="19"/>
  <c r="AJ12" i="19"/>
  <c r="AJ13" i="19"/>
  <c r="AJ14" i="19"/>
  <c r="AL14" i="19" s="1"/>
  <c r="AJ15" i="19"/>
  <c r="AL15" i="19" s="1"/>
  <c r="AJ5" i="19"/>
  <c r="AL5" i="19" s="1"/>
  <c r="C10" i="19"/>
  <c r="AB8" i="19"/>
  <c r="AC17" i="19"/>
  <c r="AB17" i="19"/>
  <c r="AC3" i="19"/>
  <c r="AB3" i="19"/>
  <c r="F6" i="21" s="1"/>
  <c r="S2" i="11"/>
  <c r="G2" i="11"/>
  <c r="O16" i="11"/>
  <c r="O10" i="11"/>
  <c r="O5" i="11"/>
  <c r="U8" i="19"/>
  <c r="U17" i="19" s="1"/>
  <c r="T8" i="19"/>
  <c r="W8" i="19" s="1"/>
  <c r="U3" i="19"/>
  <c r="I12" i="20"/>
  <c r="R6" i="17"/>
  <c r="R15" i="5"/>
  <c r="R13" i="5"/>
  <c r="R11" i="5"/>
  <c r="U13" i="9"/>
  <c r="U8" i="9"/>
  <c r="U5" i="9"/>
  <c r="M17" i="19"/>
  <c r="L9" i="19"/>
  <c r="M3" i="19"/>
  <c r="D3" i="20"/>
  <c r="D2" i="20"/>
  <c r="E17" i="19"/>
  <c r="E3" i="19" s="1"/>
  <c r="C11" i="19"/>
  <c r="AK11" i="19" s="1"/>
  <c r="I13" i="9" a="1"/>
  <c r="I13" i="9"/>
  <c r="I8" i="9"/>
  <c r="I5" i="9"/>
  <c r="M2" i="9" s="1"/>
  <c r="C5" i="9"/>
  <c r="C13" i="9" a="1"/>
  <c r="C13" i="9"/>
  <c r="C5" i="11"/>
  <c r="C10" i="11"/>
  <c r="C16" i="11"/>
  <c r="I16" i="11"/>
  <c r="I10" i="11"/>
  <c r="M3" i="11"/>
  <c r="I5" i="11" s="1"/>
  <c r="E80" i="18"/>
  <c r="E50" i="18"/>
  <c r="E110" i="18"/>
  <c r="I88" i="18"/>
  <c r="I89" i="18"/>
  <c r="I90" i="18"/>
  <c r="I91" i="18"/>
  <c r="I92" i="18"/>
  <c r="I93" i="18"/>
  <c r="I94" i="18"/>
  <c r="I95" i="18"/>
  <c r="I96" i="18"/>
  <c r="I97" i="18"/>
  <c r="I98" i="18"/>
  <c r="I99" i="18"/>
  <c r="I100" i="18"/>
  <c r="I101" i="18"/>
  <c r="I102" i="18"/>
  <c r="I103" i="18"/>
  <c r="I104" i="18"/>
  <c r="I105" i="18"/>
  <c r="I106" i="18"/>
  <c r="I107" i="18"/>
  <c r="I108" i="18"/>
  <c r="I109" i="18"/>
  <c r="I87" i="18"/>
  <c r="H57" i="18"/>
  <c r="D57" i="18"/>
  <c r="I43" i="18"/>
  <c r="I44" i="18"/>
  <c r="I45" i="18"/>
  <c r="I46" i="18"/>
  <c r="I47" i="18"/>
  <c r="I48" i="18"/>
  <c r="I49" i="18"/>
  <c r="I42" i="18"/>
  <c r="I20" i="18"/>
  <c r="I21" i="18"/>
  <c r="I22" i="18"/>
  <c r="I23" i="18"/>
  <c r="I24" i="18"/>
  <c r="I19" i="18"/>
  <c r="I26" i="18"/>
  <c r="I27" i="18"/>
  <c r="I28" i="18"/>
  <c r="I29" i="18"/>
  <c r="I30" i="18"/>
  <c r="I31" i="18"/>
  <c r="I32" i="18"/>
  <c r="I25" i="18"/>
  <c r="I16" i="18"/>
  <c r="I17" i="18"/>
  <c r="I18" i="18"/>
  <c r="I15" i="18"/>
  <c r="C8" i="18"/>
  <c r="D7" i="18" s="1"/>
  <c r="I12" i="18" s="1"/>
  <c r="B13" i="12"/>
  <c r="O5" i="9"/>
  <c r="O8" i="9"/>
  <c r="O13" i="9"/>
  <c r="C44" i="16"/>
  <c r="C24" i="16"/>
  <c r="C19" i="16"/>
  <c r="C63" i="15"/>
  <c r="C27" i="15"/>
  <c r="C24" i="15"/>
  <c r="Z2" i="16" l="1"/>
  <c r="Z2" i="15"/>
  <c r="Z1" i="9"/>
  <c r="W15" i="19"/>
  <c r="L5" i="21" s="1"/>
  <c r="T17" i="19"/>
  <c r="T3" i="19" s="1"/>
  <c r="F5" i="21" s="1"/>
  <c r="AJ8" i="19"/>
  <c r="AK8" i="19"/>
  <c r="L10" i="19"/>
  <c r="O10" i="19" s="1"/>
  <c r="O15" i="19" s="1"/>
  <c r="L4" i="21" s="1"/>
  <c r="AK10" i="19"/>
  <c r="AL12" i="19"/>
  <c r="I79" i="18"/>
  <c r="I78" i="18"/>
  <c r="I77" i="18"/>
  <c r="I75" i="18"/>
  <c r="I73" i="18"/>
  <c r="I62" i="18"/>
  <c r="I63" i="18"/>
  <c r="I64" i="18"/>
  <c r="I65" i="18"/>
  <c r="I66" i="18"/>
  <c r="I67" i="18"/>
  <c r="I68" i="18"/>
  <c r="I69" i="18"/>
  <c r="I70" i="18"/>
  <c r="I71" i="18"/>
  <c r="I72" i="18"/>
  <c r="I61" i="18"/>
  <c r="I80" i="18" s="1"/>
  <c r="I82" i="18" s="1"/>
  <c r="N13" i="18" s="1"/>
  <c r="I38" i="18"/>
  <c r="I36" i="18"/>
  <c r="I37" i="18"/>
  <c r="I39" i="18"/>
  <c r="I40" i="18"/>
  <c r="I41" i="18"/>
  <c r="I35" i="18"/>
  <c r="I13" i="18"/>
  <c r="I14" i="18"/>
  <c r="I50" i="18"/>
  <c r="I52" i="18" s="1"/>
  <c r="N12" i="18" s="1"/>
  <c r="C78" i="15"/>
  <c r="T1" i="9" l="1"/>
  <c r="C12" i="19"/>
  <c r="AK12" i="19" s="1"/>
  <c r="AJ10" i="19"/>
  <c r="L17" i="19"/>
  <c r="C72" i="15"/>
  <c r="L3" i="19" l="1"/>
  <c r="F4" i="21"/>
  <c r="J64" i="16"/>
  <c r="C64" i="16"/>
  <c r="J58" i="16"/>
  <c r="C58" i="16"/>
  <c r="J52" i="16"/>
  <c r="C52" i="16"/>
  <c r="J44" i="16"/>
  <c r="J24" i="16"/>
  <c r="J19" i="16"/>
  <c r="J16" i="16"/>
  <c r="C16" i="16"/>
  <c r="J84" i="15"/>
  <c r="J78" i="15"/>
  <c r="J72" i="15"/>
  <c r="J63" i="15"/>
  <c r="J32" i="15"/>
  <c r="J27" i="15"/>
  <c r="N2" i="15" s="1"/>
  <c r="C84" i="15"/>
  <c r="C32" i="15"/>
  <c r="Q25" i="5"/>
  <c r="Q24" i="5"/>
  <c r="I8" i="5"/>
  <c r="I7" i="5"/>
  <c r="I18" i="5" s="1"/>
  <c r="Q14" i="5"/>
  <c r="Q13" i="5"/>
  <c r="Q43" i="5"/>
  <c r="Q45" i="5" s="1"/>
  <c r="I32" i="5"/>
  <c r="I44" i="5"/>
  <c r="I43" i="5"/>
  <c r="I45" i="5" s="1"/>
  <c r="Q33" i="5"/>
  <c r="Q34" i="5"/>
  <c r="Q32" i="5"/>
  <c r="I33" i="5"/>
  <c r="I34" i="5"/>
  <c r="Q26" i="5"/>
  <c r="H24" i="5"/>
  <c r="I24" i="5" s="1"/>
  <c r="I26" i="5" s="1"/>
  <c r="Q16" i="5"/>
  <c r="Q15" i="5"/>
  <c r="Q12" i="5"/>
  <c r="Q11" i="5"/>
  <c r="Q10" i="5"/>
  <c r="Q9" i="5"/>
  <c r="Q8" i="5"/>
  <c r="Q7" i="5"/>
  <c r="Q17" i="5"/>
  <c r="M2" i="11"/>
  <c r="B6" i="2"/>
  <c r="R6" i="1"/>
  <c r="AN6" i="1" s="1"/>
  <c r="R7" i="1"/>
  <c r="AN7" i="1" s="1"/>
  <c r="R10" i="1"/>
  <c r="R182" i="1"/>
  <c r="R13" i="1"/>
  <c r="AN13" i="1" s="1"/>
  <c r="R14" i="1"/>
  <c r="R16" i="1"/>
  <c r="R17" i="1"/>
  <c r="R18" i="1"/>
  <c r="R20" i="1"/>
  <c r="AN20" i="1" s="1"/>
  <c r="R21" i="1"/>
  <c r="AN21" i="1" s="1"/>
  <c r="R23" i="1"/>
  <c r="R24" i="1"/>
  <c r="R25" i="1"/>
  <c r="R26" i="1"/>
  <c r="R19" i="1"/>
  <c r="R183" i="1"/>
  <c r="R22" i="1"/>
  <c r="AO22" i="1" s="1"/>
  <c r="R31" i="1"/>
  <c r="AQ31" i="1" s="1"/>
  <c r="R184" i="1"/>
  <c r="R5" i="1"/>
  <c r="AM5" i="1" s="1"/>
  <c r="R33" i="1"/>
  <c r="AM33" i="1" s="1"/>
  <c r="R35" i="1"/>
  <c r="AM35" i="1" s="1"/>
  <c r="R36" i="1"/>
  <c r="AM36" i="1" s="1"/>
  <c r="R37" i="1"/>
  <c r="AM37" i="1" s="1"/>
  <c r="R38" i="1"/>
  <c r="AM38" i="1" s="1"/>
  <c r="R40" i="1"/>
  <c r="R41" i="1"/>
  <c r="AM41" i="1" s="1"/>
  <c r="R42" i="1"/>
  <c r="AM42" i="1" s="1"/>
  <c r="R43" i="1"/>
  <c r="AM43" i="1" s="1"/>
  <c r="R44" i="1"/>
  <c r="AM44" i="1" s="1"/>
  <c r="R45" i="1"/>
  <c r="AM45" i="1" s="1"/>
  <c r="R47" i="1"/>
  <c r="AM47" i="1" s="1"/>
  <c r="R48" i="1"/>
  <c r="AM48" i="1" s="1"/>
  <c r="R50" i="1"/>
  <c r="AM50" i="1" s="1"/>
  <c r="R52" i="1"/>
  <c r="AM52" i="1" s="1"/>
  <c r="R53" i="1"/>
  <c r="AM53" i="1" s="1"/>
  <c r="R55" i="1"/>
  <c r="AM55" i="1" s="1"/>
  <c r="R28" i="1"/>
  <c r="R56" i="1"/>
  <c r="AM56" i="1" s="1"/>
  <c r="R57" i="1"/>
  <c r="AM57" i="1" s="1"/>
  <c r="R58" i="1"/>
  <c r="AM58" i="1" s="1"/>
  <c r="R185" i="1"/>
  <c r="R29" i="1"/>
  <c r="AM29" i="1" s="1"/>
  <c r="R59" i="1"/>
  <c r="AM59" i="1" s="1"/>
  <c r="R60" i="1"/>
  <c r="AM60" i="1" s="1"/>
  <c r="R61" i="1"/>
  <c r="AM61" i="1" s="1"/>
  <c r="R62" i="1"/>
  <c r="AM62" i="1" s="1"/>
  <c r="R63" i="1"/>
  <c r="AM63" i="1" s="1"/>
  <c r="R64" i="1"/>
  <c r="AM64" i="1" s="1"/>
  <c r="R65" i="1"/>
  <c r="AM65" i="1" s="1"/>
  <c r="R11" i="1"/>
  <c r="AO11" i="1" s="1"/>
  <c r="R32" i="1"/>
  <c r="AM32" i="1" s="1"/>
  <c r="R66" i="1"/>
  <c r="AM66" i="1" s="1"/>
  <c r="R67" i="1"/>
  <c r="AQ67" i="1" s="1"/>
  <c r="R68" i="1"/>
  <c r="AM68" i="1" s="1"/>
  <c r="R69" i="1"/>
  <c r="AM69" i="1" s="1"/>
  <c r="R72" i="1"/>
  <c r="AM72" i="1" s="1"/>
  <c r="R73" i="1"/>
  <c r="AN73" i="1" s="1"/>
  <c r="R74" i="1"/>
  <c r="AN74" i="1" s="1"/>
  <c r="R75" i="1"/>
  <c r="AM75" i="1" s="1"/>
  <c r="R51" i="1"/>
  <c r="AM51" i="1" s="1"/>
  <c r="R15" i="1"/>
  <c r="AO15" i="1" s="1"/>
  <c r="R39" i="1"/>
  <c r="R27" i="1"/>
  <c r="AQ27" i="1" s="1"/>
  <c r="R12" i="1"/>
  <c r="AM12" i="1" s="1"/>
  <c r="R80" i="1"/>
  <c r="AP80" i="1" s="1"/>
  <c r="R81" i="1"/>
  <c r="AP81" i="1" s="1"/>
  <c r="R82" i="1"/>
  <c r="AP82" i="1" s="1"/>
  <c r="R83" i="1"/>
  <c r="AP83" i="1" s="1"/>
  <c r="R84" i="1"/>
  <c r="AP84" i="1" s="1"/>
  <c r="R85" i="1"/>
  <c r="AP85" i="1" s="1"/>
  <c r="R86" i="1"/>
  <c r="AP86" i="1" s="1"/>
  <c r="R87" i="1"/>
  <c r="AP87" i="1" s="1"/>
  <c r="R88" i="1"/>
  <c r="AP88" i="1" s="1"/>
  <c r="R89" i="1"/>
  <c r="AP89" i="1" s="1"/>
  <c r="R90" i="1"/>
  <c r="AP90" i="1" s="1"/>
  <c r="R91" i="1"/>
  <c r="AP91" i="1" s="1"/>
  <c r="R46" i="1"/>
  <c r="AP46" i="1" s="1"/>
  <c r="R186" i="1"/>
  <c r="R187" i="1"/>
  <c r="R95" i="1"/>
  <c r="AQ95" i="1" s="1"/>
  <c r="R71" i="1"/>
  <c r="AP71" i="1" s="1"/>
  <c r="R77" i="1"/>
  <c r="AP77" i="1" s="1"/>
  <c r="R96" i="1"/>
  <c r="AP96" i="1" s="1"/>
  <c r="R97" i="1"/>
  <c r="AP97" i="1" s="1"/>
  <c r="R98" i="1"/>
  <c r="AP98" i="1" s="1"/>
  <c r="R99" i="1"/>
  <c r="AP99" i="1" s="1"/>
  <c r="R100" i="1"/>
  <c r="AP100" i="1" s="1"/>
  <c r="R101" i="1"/>
  <c r="AP101" i="1" s="1"/>
  <c r="R78" i="1"/>
  <c r="R102" i="1"/>
  <c r="AQ102" i="1" s="1"/>
  <c r="R103" i="1"/>
  <c r="AP103" i="1" s="1"/>
  <c r="R104" i="1"/>
  <c r="R49" i="1"/>
  <c r="AS49" i="1" s="1"/>
  <c r="R106" i="1"/>
  <c r="R54" i="1"/>
  <c r="AQ54" i="1" s="1"/>
  <c r="R188" i="1"/>
  <c r="R189" i="1"/>
  <c r="R108" i="1"/>
  <c r="R94" i="1"/>
  <c r="AQ94" i="1" s="1"/>
  <c r="R109" i="1"/>
  <c r="AQ109" i="1" s="1"/>
  <c r="R190" i="1"/>
  <c r="R107" i="1"/>
  <c r="R110" i="1"/>
  <c r="AQ110" i="1" s="1"/>
  <c r="R93" i="1"/>
  <c r="R30" i="1"/>
  <c r="R115" i="1"/>
  <c r="AQ115" i="1" s="1"/>
  <c r="R191" i="1"/>
  <c r="R70" i="1"/>
  <c r="AR70" i="1" s="1"/>
  <c r="R116" i="1"/>
  <c r="R111" i="1"/>
  <c r="R118" i="1"/>
  <c r="R105" i="1"/>
  <c r="R76" i="1"/>
  <c r="AS76" i="1" s="1"/>
  <c r="R192" i="1"/>
  <c r="AR192" i="1" s="1"/>
  <c r="R120" i="1"/>
  <c r="AR120" i="1" s="1"/>
  <c r="R121" i="1"/>
  <c r="AR121" i="1" s="1"/>
  <c r="R122" i="1"/>
  <c r="AR122" i="1" s="1"/>
  <c r="R123" i="1"/>
  <c r="AR123" i="1" s="1"/>
  <c r="R125" i="1"/>
  <c r="AR125" i="1" s="1"/>
  <c r="R126" i="1"/>
  <c r="AR126" i="1" s="1"/>
  <c r="R127" i="1"/>
  <c r="AR127" i="1" s="1"/>
  <c r="R128" i="1"/>
  <c r="AR128" i="1" s="1"/>
  <c r="R79" i="1"/>
  <c r="AR79" i="1" s="1"/>
  <c r="R112" i="1"/>
  <c r="AR112" i="1" s="1"/>
  <c r="R113" i="1"/>
  <c r="AR113" i="1" s="1"/>
  <c r="R114" i="1"/>
  <c r="AR114" i="1" s="1"/>
  <c r="R130" i="1"/>
  <c r="R131" i="1"/>
  <c r="AR131" i="1" s="1"/>
  <c r="R132" i="1"/>
  <c r="AR132" i="1" s="1"/>
  <c r="R133" i="1"/>
  <c r="AR133" i="1" s="1"/>
  <c r="R134" i="1"/>
  <c r="AR134" i="1" s="1"/>
  <c r="R138" i="1"/>
  <c r="R193" i="1"/>
  <c r="R194" i="1"/>
  <c r="R195" i="1"/>
  <c r="R196" i="1"/>
  <c r="R139" i="1"/>
  <c r="R140" i="1"/>
  <c r="R141" i="1"/>
  <c r="R142" i="1"/>
  <c r="R143" i="1"/>
  <c r="R144" i="1"/>
  <c r="R145" i="1"/>
  <c r="R146" i="1"/>
  <c r="R197" i="1"/>
  <c r="R198" i="1"/>
  <c r="R117" i="1"/>
  <c r="R124" i="1"/>
  <c r="R92" i="1"/>
  <c r="R154" i="1"/>
  <c r="R156" i="1"/>
  <c r="R157" i="1"/>
  <c r="R158" i="1"/>
  <c r="R161" i="1"/>
  <c r="R135" i="1"/>
  <c r="R164" i="1"/>
  <c r="R149" i="1"/>
  <c r="R153" i="1"/>
  <c r="R155" i="1"/>
  <c r="R150" i="1"/>
  <c r="R151" i="1"/>
  <c r="R162" i="1"/>
  <c r="R170" i="1"/>
  <c r="R136" i="1"/>
  <c r="R166" i="1"/>
  <c r="R137" i="1"/>
  <c r="R148" i="1"/>
  <c r="R147" i="1"/>
  <c r="R129" i="1"/>
  <c r="R169" i="1"/>
  <c r="R152" i="1"/>
  <c r="R160" i="1"/>
  <c r="R172" i="1"/>
  <c r="R167" i="1"/>
  <c r="R175" i="1"/>
  <c r="R165" i="1"/>
  <c r="R119" i="1"/>
  <c r="R199" i="1"/>
  <c r="R171" i="1"/>
  <c r="R168" i="1"/>
  <c r="R163" i="1"/>
  <c r="R178" i="1"/>
  <c r="R174" i="1"/>
  <c r="R200" i="1"/>
  <c r="R201" i="1"/>
  <c r="R177" i="1"/>
  <c r="R159" i="1"/>
  <c r="R176" i="1"/>
  <c r="R179" i="1"/>
  <c r="R202" i="1"/>
  <c r="R4" i="1"/>
  <c r="Q9" i="1"/>
  <c r="R9" i="1" s="1"/>
  <c r="Q8" i="1"/>
  <c r="R8" i="1" l="1"/>
  <c r="N2" i="16"/>
  <c r="Q18" i="5"/>
  <c r="R18" i="5"/>
  <c r="J27" i="5"/>
  <c r="AS6" i="19" s="1"/>
  <c r="C6" i="19"/>
  <c r="AK6" i="19" s="1"/>
  <c r="J19" i="5"/>
  <c r="AS5" i="19" s="1"/>
  <c r="C5" i="19"/>
  <c r="AK5" i="19" s="1"/>
  <c r="N1" i="11"/>
  <c r="C13" i="19"/>
  <c r="AK13" i="19" s="1"/>
  <c r="G2" i="16"/>
  <c r="G2" i="15"/>
  <c r="J38" i="5"/>
  <c r="AS7" i="19" s="1"/>
  <c r="AN39" i="1"/>
  <c r="AN40" i="1"/>
  <c r="AQ204" i="1"/>
  <c r="AS204" i="1"/>
  <c r="AP78" i="1"/>
  <c r="AM204" i="1"/>
  <c r="AL205" i="1" s="1"/>
  <c r="AO204" i="1"/>
  <c r="T197" i="1"/>
  <c r="W197" i="1"/>
  <c r="X197" i="1"/>
  <c r="Y197" i="1" s="1"/>
  <c r="AD197" i="1"/>
  <c r="T146" i="1"/>
  <c r="W146" i="1"/>
  <c r="X146" i="1"/>
  <c r="Y146" i="1" s="1"/>
  <c r="AD146" i="1"/>
  <c r="T145" i="1"/>
  <c r="W145" i="1"/>
  <c r="X145" i="1"/>
  <c r="Y145" i="1" s="1"/>
  <c r="AD145" i="1"/>
  <c r="T144" i="1"/>
  <c r="W144" i="1"/>
  <c r="X144" i="1"/>
  <c r="Y144" i="1" s="1"/>
  <c r="AD144" i="1"/>
  <c r="T143" i="1"/>
  <c r="W143" i="1"/>
  <c r="X143" i="1"/>
  <c r="Y143" i="1" s="1"/>
  <c r="AD143" i="1"/>
  <c r="T43" i="1"/>
  <c r="T53" i="1"/>
  <c r="T29" i="1"/>
  <c r="T32" i="1"/>
  <c r="T57" i="1"/>
  <c r="T69" i="1"/>
  <c r="T103" i="1"/>
  <c r="T104" i="1"/>
  <c r="T78" i="1"/>
  <c r="T101" i="1"/>
  <c r="T123" i="1"/>
  <c r="T134" i="1"/>
  <c r="T114" i="1"/>
  <c r="T71" i="1"/>
  <c r="W43" i="1"/>
  <c r="W53" i="1"/>
  <c r="W29" i="1"/>
  <c r="W32" i="1"/>
  <c r="W57" i="1"/>
  <c r="W69" i="1"/>
  <c r="W103" i="1"/>
  <c r="W104" i="1"/>
  <c r="W78" i="1"/>
  <c r="W101" i="1"/>
  <c r="W123" i="1"/>
  <c r="W134" i="1"/>
  <c r="W114" i="1"/>
  <c r="W71" i="1"/>
  <c r="X43" i="1"/>
  <c r="Y43" i="1" s="1"/>
  <c r="X53" i="1"/>
  <c r="Y53" i="1" s="1"/>
  <c r="X29" i="1"/>
  <c r="Y29" i="1" s="1"/>
  <c r="X32" i="1"/>
  <c r="Y32" i="1" s="1"/>
  <c r="X57" i="1"/>
  <c r="Y57" i="1" s="1"/>
  <c r="X69" i="1"/>
  <c r="Y69" i="1" s="1"/>
  <c r="X103" i="1"/>
  <c r="Y103" i="1" s="1"/>
  <c r="X104" i="1"/>
  <c r="Y104" i="1" s="1"/>
  <c r="X78" i="1"/>
  <c r="Y78" i="1" s="1"/>
  <c r="X101" i="1"/>
  <c r="Y101" i="1" s="1"/>
  <c r="X123" i="1"/>
  <c r="Y123" i="1" s="1"/>
  <c r="X134" i="1"/>
  <c r="Y134" i="1" s="1"/>
  <c r="X114" i="1"/>
  <c r="Y114" i="1" s="1"/>
  <c r="X71" i="1"/>
  <c r="Y71" i="1" s="1"/>
  <c r="AD43" i="1"/>
  <c r="AD53" i="1"/>
  <c r="AD29" i="1"/>
  <c r="AD32" i="1"/>
  <c r="AD57" i="1"/>
  <c r="AD69" i="1"/>
  <c r="AD103" i="1"/>
  <c r="AD104" i="1"/>
  <c r="AD78" i="1"/>
  <c r="AD101" i="1"/>
  <c r="AD123" i="1"/>
  <c r="AD134" i="1"/>
  <c r="AD114" i="1"/>
  <c r="AD71" i="1"/>
  <c r="T30" i="1"/>
  <c r="T5" i="1"/>
  <c r="T12" i="1"/>
  <c r="T64" i="1"/>
  <c r="T63" i="1"/>
  <c r="T59" i="1"/>
  <c r="T47" i="1"/>
  <c r="T51" i="1"/>
  <c r="T50" i="1"/>
  <c r="T52" i="1"/>
  <c r="T46" i="1"/>
  <c r="T88" i="1"/>
  <c r="T89" i="1"/>
  <c r="T90" i="1"/>
  <c r="W30" i="1"/>
  <c r="W5" i="1"/>
  <c r="W12" i="1"/>
  <c r="W64" i="1"/>
  <c r="W63" i="1"/>
  <c r="W59" i="1"/>
  <c r="W47" i="1"/>
  <c r="W51" i="1"/>
  <c r="W50" i="1"/>
  <c r="W52" i="1"/>
  <c r="W46" i="1"/>
  <c r="W88" i="1"/>
  <c r="W89" i="1"/>
  <c r="W90" i="1"/>
  <c r="X30" i="1"/>
  <c r="Y30" i="1" s="1"/>
  <c r="X5" i="1"/>
  <c r="Y5" i="1" s="1"/>
  <c r="X12" i="1"/>
  <c r="Y12" i="1" s="1"/>
  <c r="X64" i="1"/>
  <c r="Y64" i="1" s="1"/>
  <c r="X63" i="1"/>
  <c r="Y63" i="1" s="1"/>
  <c r="X59" i="1"/>
  <c r="Y59" i="1" s="1"/>
  <c r="X47" i="1"/>
  <c r="Y47" i="1" s="1"/>
  <c r="X51" i="1"/>
  <c r="Y51" i="1" s="1"/>
  <c r="X50" i="1"/>
  <c r="Y50" i="1" s="1"/>
  <c r="X52" i="1"/>
  <c r="Y52" i="1" s="1"/>
  <c r="X46" i="1"/>
  <c r="Y46" i="1" s="1"/>
  <c r="X88" i="1"/>
  <c r="Y88" i="1" s="1"/>
  <c r="X89" i="1"/>
  <c r="Y89" i="1" s="1"/>
  <c r="X90" i="1"/>
  <c r="Y90" i="1" s="1"/>
  <c r="AD30" i="1"/>
  <c r="AD5" i="1"/>
  <c r="AD12" i="1"/>
  <c r="AD64" i="1"/>
  <c r="AD63" i="1"/>
  <c r="AD59" i="1"/>
  <c r="AD47" i="1"/>
  <c r="AD51" i="1"/>
  <c r="AD50" i="1"/>
  <c r="AD52" i="1"/>
  <c r="AD46" i="1"/>
  <c r="AD88" i="1"/>
  <c r="AD89" i="1"/>
  <c r="AD90" i="1"/>
  <c r="T128" i="1"/>
  <c r="T132" i="1"/>
  <c r="T131" i="1"/>
  <c r="T133" i="1"/>
  <c r="T41" i="1"/>
  <c r="T35" i="1"/>
  <c r="T33" i="1"/>
  <c r="T36" i="1"/>
  <c r="T44" i="1"/>
  <c r="T60" i="1"/>
  <c r="T62" i="1"/>
  <c r="W128" i="1"/>
  <c r="W132" i="1"/>
  <c r="W131" i="1"/>
  <c r="W133" i="1"/>
  <c r="W41" i="1"/>
  <c r="W35" i="1"/>
  <c r="W33" i="1"/>
  <c r="W36" i="1"/>
  <c r="W44" i="1"/>
  <c r="W60" i="1"/>
  <c r="W62" i="1"/>
  <c r="X128" i="1"/>
  <c r="Y128" i="1" s="1"/>
  <c r="X132" i="1"/>
  <c r="Y132" i="1" s="1"/>
  <c r="X131" i="1"/>
  <c r="Y131" i="1" s="1"/>
  <c r="X133" i="1"/>
  <c r="Y133" i="1" s="1"/>
  <c r="X41" i="1"/>
  <c r="Y41" i="1" s="1"/>
  <c r="X35" i="1"/>
  <c r="Y35" i="1" s="1"/>
  <c r="X33" i="1"/>
  <c r="Y33" i="1" s="1"/>
  <c r="X36" i="1"/>
  <c r="Y36" i="1" s="1"/>
  <c r="X44" i="1"/>
  <c r="Y44" i="1" s="1"/>
  <c r="X60" i="1"/>
  <c r="Y60" i="1" s="1"/>
  <c r="X62" i="1"/>
  <c r="Y62" i="1" s="1"/>
  <c r="AD128" i="1"/>
  <c r="AD132" i="1"/>
  <c r="AD131" i="1"/>
  <c r="AD133" i="1"/>
  <c r="AD41" i="1"/>
  <c r="AD35" i="1"/>
  <c r="AD33" i="1"/>
  <c r="AD36" i="1"/>
  <c r="AD44" i="1"/>
  <c r="AD60" i="1"/>
  <c r="AD62" i="1"/>
  <c r="T37" i="1"/>
  <c r="T48" i="1"/>
  <c r="T56" i="1"/>
  <c r="T38" i="1"/>
  <c r="T65" i="1"/>
  <c r="T42" i="1"/>
  <c r="T66" i="1"/>
  <c r="T45" i="1"/>
  <c r="T55" i="1"/>
  <c r="T68" i="1"/>
  <c r="T75" i="1"/>
  <c r="T58" i="1"/>
  <c r="T72" i="1"/>
  <c r="T61" i="1"/>
  <c r="W37" i="1"/>
  <c r="W48" i="1"/>
  <c r="W56" i="1"/>
  <c r="W38" i="1"/>
  <c r="W65" i="1"/>
  <c r="W42" i="1"/>
  <c r="W66" i="1"/>
  <c r="W45" i="1"/>
  <c r="W55" i="1"/>
  <c r="W68" i="1"/>
  <c r="W75" i="1"/>
  <c r="W58" i="1"/>
  <c r="W72" i="1"/>
  <c r="W61" i="1"/>
  <c r="X37" i="1"/>
  <c r="Y37" i="1" s="1"/>
  <c r="X48" i="1"/>
  <c r="Y48" i="1" s="1"/>
  <c r="X56" i="1"/>
  <c r="Y56" i="1" s="1"/>
  <c r="X38" i="1"/>
  <c r="Y38" i="1" s="1"/>
  <c r="X65" i="1"/>
  <c r="Y65" i="1" s="1"/>
  <c r="X42" i="1"/>
  <c r="Y42" i="1" s="1"/>
  <c r="X66" i="1"/>
  <c r="Y66" i="1" s="1"/>
  <c r="X45" i="1"/>
  <c r="Y45" i="1" s="1"/>
  <c r="X55" i="1"/>
  <c r="Y55" i="1" s="1"/>
  <c r="X68" i="1"/>
  <c r="Y68" i="1" s="1"/>
  <c r="X75" i="1"/>
  <c r="Y75" i="1" s="1"/>
  <c r="X58" i="1"/>
  <c r="Y58" i="1" s="1"/>
  <c r="X72" i="1"/>
  <c r="Y72" i="1" s="1"/>
  <c r="X61" i="1"/>
  <c r="Y61" i="1" s="1"/>
  <c r="AD37" i="1"/>
  <c r="AD48" i="1"/>
  <c r="AD56" i="1"/>
  <c r="AD38" i="1"/>
  <c r="AD65" i="1"/>
  <c r="AD42" i="1"/>
  <c r="AD66" i="1"/>
  <c r="AD45" i="1"/>
  <c r="AD55" i="1"/>
  <c r="AD68" i="1"/>
  <c r="AD75" i="1"/>
  <c r="AD58" i="1"/>
  <c r="AD72" i="1"/>
  <c r="AD61" i="1"/>
  <c r="T96" i="1"/>
  <c r="T97" i="1"/>
  <c r="T98" i="1"/>
  <c r="T99" i="1"/>
  <c r="T100" i="1"/>
  <c r="T77" i="1"/>
  <c r="T125" i="1"/>
  <c r="T120" i="1"/>
  <c r="T112" i="1"/>
  <c r="T121" i="1"/>
  <c r="T122" i="1"/>
  <c r="T113" i="1"/>
  <c r="T126" i="1"/>
  <c r="T127" i="1"/>
  <c r="W96" i="1"/>
  <c r="W97" i="1"/>
  <c r="W98" i="1"/>
  <c r="W99" i="1"/>
  <c r="W100" i="1"/>
  <c r="W77" i="1"/>
  <c r="W125" i="1"/>
  <c r="W120" i="1"/>
  <c r="W112" i="1"/>
  <c r="W121" i="1"/>
  <c r="W122" i="1"/>
  <c r="W113" i="1"/>
  <c r="W126" i="1"/>
  <c r="W127" i="1"/>
  <c r="X96" i="1"/>
  <c r="Y96" i="1" s="1"/>
  <c r="X97" i="1"/>
  <c r="Y97" i="1" s="1"/>
  <c r="X98" i="1"/>
  <c r="Y98" i="1" s="1"/>
  <c r="X99" i="1"/>
  <c r="Y99" i="1" s="1"/>
  <c r="X100" i="1"/>
  <c r="Y100" i="1" s="1"/>
  <c r="X77" i="1"/>
  <c r="Y77" i="1" s="1"/>
  <c r="X125" i="1"/>
  <c r="Y125" i="1" s="1"/>
  <c r="X120" i="1"/>
  <c r="Y120" i="1" s="1"/>
  <c r="X112" i="1"/>
  <c r="Y112" i="1" s="1"/>
  <c r="X121" i="1"/>
  <c r="Y121" i="1" s="1"/>
  <c r="X122" i="1"/>
  <c r="Y122" i="1" s="1"/>
  <c r="X113" i="1"/>
  <c r="Y113" i="1" s="1"/>
  <c r="X126" i="1"/>
  <c r="Y126" i="1" s="1"/>
  <c r="X127" i="1"/>
  <c r="Y127" i="1" s="1"/>
  <c r="AD96" i="1"/>
  <c r="AD97" i="1"/>
  <c r="AD98" i="1"/>
  <c r="AD99" i="1"/>
  <c r="AD100" i="1"/>
  <c r="AD77" i="1"/>
  <c r="AD125" i="1"/>
  <c r="AD120" i="1"/>
  <c r="AD112" i="1"/>
  <c r="AD121" i="1"/>
  <c r="AD122" i="1"/>
  <c r="AD113" i="1"/>
  <c r="AD126" i="1"/>
  <c r="AD127" i="1"/>
  <c r="Q173" i="1"/>
  <c r="R173" i="1" s="1"/>
  <c r="T173" i="1"/>
  <c r="AD173" i="1"/>
  <c r="W6" i="1"/>
  <c r="W124" i="1"/>
  <c r="Z124" i="1" s="1"/>
  <c r="W105" i="1"/>
  <c r="W106" i="1"/>
  <c r="W16" i="1"/>
  <c r="W17" i="1"/>
  <c r="W18" i="1"/>
  <c r="W13" i="1"/>
  <c r="W109" i="1"/>
  <c r="W110" i="1"/>
  <c r="W115" i="1"/>
  <c r="W102" i="1"/>
  <c r="W107" i="1"/>
  <c r="W34" i="1"/>
  <c r="W4" i="1"/>
  <c r="W19" i="1"/>
  <c r="W93" i="1"/>
  <c r="W15" i="1"/>
  <c r="W11" i="1"/>
  <c r="W91" i="1"/>
  <c r="W87" i="1"/>
  <c r="W157" i="1"/>
  <c r="W156" i="1"/>
  <c r="W155" i="1"/>
  <c r="W153" i="1"/>
  <c r="W150" i="1"/>
  <c r="W158" i="1"/>
  <c r="W79" i="1"/>
  <c r="W80" i="1"/>
  <c r="W81" i="1"/>
  <c r="W82" i="1"/>
  <c r="W83" i="1"/>
  <c r="W84" i="1"/>
  <c r="W85" i="1"/>
  <c r="W86" i="1"/>
  <c r="W164" i="1"/>
  <c r="W154" i="1"/>
  <c r="W161" i="1"/>
  <c r="W74" i="1"/>
  <c r="W21" i="1"/>
  <c r="W39" i="1"/>
  <c r="W9" i="1"/>
  <c r="W73" i="1"/>
  <c r="W20" i="1"/>
  <c r="W27" i="1"/>
  <c r="W49" i="1"/>
  <c r="W54" i="1"/>
  <c r="W76" i="1"/>
  <c r="W70" i="1"/>
  <c r="W94" i="1"/>
  <c r="W40" i="1"/>
  <c r="W23" i="1"/>
  <c r="W24" i="1"/>
  <c r="W8" i="1"/>
  <c r="W31" i="1"/>
  <c r="W67" i="1"/>
  <c r="W95" i="1"/>
  <c r="W130" i="1"/>
  <c r="W194" i="1"/>
  <c r="W198" i="1"/>
  <c r="W187" i="1"/>
  <c r="W186" i="1"/>
  <c r="W184" i="1"/>
  <c r="W26" i="1"/>
  <c r="W25" i="1"/>
  <c r="W192" i="1"/>
  <c r="W182" i="1"/>
  <c r="W28" i="1"/>
  <c r="W188" i="1"/>
  <c r="W138" i="1"/>
  <c r="W181" i="1"/>
  <c r="W195" i="1"/>
  <c r="W141" i="1"/>
  <c r="W140" i="1"/>
  <c r="W180" i="1"/>
  <c r="W193" i="1"/>
  <c r="W10" i="1"/>
  <c r="W142" i="1"/>
  <c r="W189" i="1"/>
  <c r="W191" i="1"/>
  <c r="W116" i="1"/>
  <c r="W196" i="1"/>
  <c r="W139" i="1"/>
  <c r="W14" i="1"/>
  <c r="W108" i="1"/>
  <c r="W22" i="1"/>
  <c r="W185" i="1"/>
  <c r="W118" i="1"/>
  <c r="W183" i="1"/>
  <c r="W111" i="1"/>
  <c r="W7" i="1"/>
  <c r="X7" i="1"/>
  <c r="Y7" i="1" s="1"/>
  <c r="AD130" i="1"/>
  <c r="AD4" i="1"/>
  <c r="AD196" i="1"/>
  <c r="AD67" i="1"/>
  <c r="AD95" i="1"/>
  <c r="AD175" i="1"/>
  <c r="AD176" i="1"/>
  <c r="AD177" i="1"/>
  <c r="AD171" i="1"/>
  <c r="AD179" i="1"/>
  <c r="AD14" i="1"/>
  <c r="AD116" i="1"/>
  <c r="AD108" i="1"/>
  <c r="AD139" i="1"/>
  <c r="AD160" i="1"/>
  <c r="AD174" i="1"/>
  <c r="AD194" i="1"/>
  <c r="AD187" i="1"/>
  <c r="AD186" i="1"/>
  <c r="AD192" i="1"/>
  <c r="AD185" i="1"/>
  <c r="AD188" i="1"/>
  <c r="AD198" i="1"/>
  <c r="AD184" i="1"/>
  <c r="AD181" i="1"/>
  <c r="AD195" i="1"/>
  <c r="AD142" i="1"/>
  <c r="AD170" i="1"/>
  <c r="AD165" i="1"/>
  <c r="AD166" i="1"/>
  <c r="AD162" i="1"/>
  <c r="AD169" i="1"/>
  <c r="AD149" i="1"/>
  <c r="AD117" i="1"/>
  <c r="AD167" i="1"/>
  <c r="AD135" i="1"/>
  <c r="AD190" i="1"/>
  <c r="AD199" i="1"/>
  <c r="AD201" i="1"/>
  <c r="AD202" i="1"/>
  <c r="AD200" i="1"/>
  <c r="AD168" i="1"/>
  <c r="T168" i="1"/>
  <c r="T124" i="1"/>
  <c r="X124" i="1"/>
  <c r="Y124" i="1" s="1"/>
  <c r="AD124" i="1" s="1"/>
  <c r="T200" i="1"/>
  <c r="T202" i="1"/>
  <c r="Z202" i="1"/>
  <c r="T201" i="1"/>
  <c r="T199" i="1"/>
  <c r="T190" i="1"/>
  <c r="T167" i="1"/>
  <c r="T135" i="1"/>
  <c r="T169" i="1"/>
  <c r="T149" i="1"/>
  <c r="T117" i="1"/>
  <c r="T162" i="1"/>
  <c r="T166" i="1"/>
  <c r="T165" i="1"/>
  <c r="R19" i="5" l="1"/>
  <c r="AN204" i="1"/>
  <c r="T170" i="1"/>
  <c r="AD152" i="1"/>
  <c r="AD148" i="1"/>
  <c r="AD137" i="1"/>
  <c r="AD111" i="1"/>
  <c r="AD92" i="1"/>
  <c r="AD129" i="1"/>
  <c r="AD76" i="1"/>
  <c r="AD70" i="1"/>
  <c r="AD147" i="1"/>
  <c r="AD172" i="1"/>
  <c r="AD105" i="1"/>
  <c r="AD159" i="1"/>
  <c r="AD119" i="1"/>
  <c r="AD151" i="1"/>
  <c r="AD141" i="1"/>
  <c r="AD138" i="1"/>
  <c r="AD22" i="1"/>
  <c r="AD140" i="1"/>
  <c r="AD180" i="1"/>
  <c r="AD193" i="1"/>
  <c r="AD118" i="1"/>
  <c r="AD136" i="1"/>
  <c r="AD178" i="1"/>
  <c r="AD182" i="1"/>
  <c r="AD10" i="1"/>
  <c r="AD189" i="1"/>
  <c r="AD191" i="1"/>
  <c r="X142" i="1" l="1"/>
  <c r="Y142" i="1" s="1"/>
  <c r="Z142" i="1"/>
  <c r="T142" i="1"/>
  <c r="AD163" i="1" l="1"/>
  <c r="I6" i="2"/>
  <c r="H6" i="2"/>
  <c r="G6" i="2"/>
  <c r="F6" i="2"/>
  <c r="E6" i="2"/>
  <c r="D6" i="2"/>
  <c r="C6" i="2"/>
  <c r="J6" i="2" s="1"/>
  <c r="T22" i="1" l="1"/>
  <c r="Z22" i="1"/>
  <c r="X22" i="1"/>
  <c r="Y22" i="1" s="1"/>
  <c r="T23" i="1"/>
  <c r="Z23" i="1"/>
  <c r="X23" i="1"/>
  <c r="Y23" i="1" s="1"/>
  <c r="AD23" i="1" s="1"/>
  <c r="T107" i="1"/>
  <c r="Z107" i="1"/>
  <c r="X107" i="1"/>
  <c r="Y107" i="1" s="1"/>
  <c r="AD107" i="1" s="1"/>
  <c r="T24" i="1"/>
  <c r="Z24" i="1"/>
  <c r="X24" i="1"/>
  <c r="Y24" i="1" s="1"/>
  <c r="AD24" i="1" s="1"/>
  <c r="T28" i="1"/>
  <c r="Z28" i="1"/>
  <c r="X28" i="1"/>
  <c r="Y28" i="1" s="1"/>
  <c r="AD28" i="1" s="1"/>
  <c r="T93" i="1"/>
  <c r="Z93" i="1"/>
  <c r="X93" i="1"/>
  <c r="Y93" i="1" s="1"/>
  <c r="AD93" i="1" s="1"/>
  <c r="T109" i="1" l="1"/>
  <c r="Z109" i="1"/>
  <c r="X109" i="1"/>
  <c r="Y109" i="1" s="1"/>
  <c r="AD109" i="1" s="1"/>
  <c r="T110" i="1"/>
  <c r="Z110" i="1"/>
  <c r="X110" i="1"/>
  <c r="Y110" i="1" s="1"/>
  <c r="AD110" i="1" s="1"/>
  <c r="T115" i="1"/>
  <c r="Z115" i="1"/>
  <c r="X115" i="1"/>
  <c r="Y115" i="1" s="1"/>
  <c r="AD115" i="1" s="1"/>
  <c r="T102" i="1"/>
  <c r="Z102" i="1"/>
  <c r="X102" i="1"/>
  <c r="Y102" i="1" s="1"/>
  <c r="AD102" i="1" s="1"/>
  <c r="T18" i="1"/>
  <c r="Z18" i="1"/>
  <c r="X18" i="1"/>
  <c r="Y18" i="1" s="1"/>
  <c r="AD18" i="1" s="1"/>
  <c r="T13" i="1"/>
  <c r="Z13" i="1"/>
  <c r="X13" i="1"/>
  <c r="Y13" i="1" s="1"/>
  <c r="AD13" i="1" s="1"/>
  <c r="T17" i="1"/>
  <c r="Z17" i="1"/>
  <c r="X17" i="1"/>
  <c r="Y17" i="1" s="1"/>
  <c r="AD17" i="1" s="1"/>
  <c r="X111" i="1"/>
  <c r="Y111" i="1" s="1"/>
  <c r="X74" i="1"/>
  <c r="Y74" i="1" s="1"/>
  <c r="AD74" i="1" s="1"/>
  <c r="X21" i="1"/>
  <c r="Y21" i="1" s="1"/>
  <c r="AD21" i="1" s="1"/>
  <c r="X39" i="1"/>
  <c r="Y39" i="1" s="1"/>
  <c r="AD39" i="1" s="1"/>
  <c r="X91" i="1"/>
  <c r="Y91" i="1" s="1"/>
  <c r="AD91" i="1" s="1"/>
  <c r="X87" i="1"/>
  <c r="Y87" i="1" s="1"/>
  <c r="AD87" i="1" s="1"/>
  <c r="X157" i="1"/>
  <c r="Y157" i="1" s="1"/>
  <c r="AD157" i="1" s="1"/>
  <c r="X156" i="1"/>
  <c r="Y156" i="1" s="1"/>
  <c r="AD156" i="1" s="1"/>
  <c r="X155" i="1"/>
  <c r="Y155" i="1" s="1"/>
  <c r="AD155" i="1" s="1"/>
  <c r="X153" i="1"/>
  <c r="Y153" i="1" s="1"/>
  <c r="AD153" i="1" s="1"/>
  <c r="X150" i="1"/>
  <c r="Y150" i="1" s="1"/>
  <c r="AD150" i="1" s="1"/>
  <c r="X158" i="1"/>
  <c r="Y158" i="1" s="1"/>
  <c r="AD158" i="1" s="1"/>
  <c r="X9" i="1"/>
  <c r="Y9" i="1" s="1"/>
  <c r="AD9" i="1" s="1"/>
  <c r="X15" i="1"/>
  <c r="Y15" i="1" s="1"/>
  <c r="AD15" i="1" s="1"/>
  <c r="X11" i="1"/>
  <c r="Y11" i="1" s="1"/>
  <c r="AD11" i="1" s="1"/>
  <c r="X27" i="1"/>
  <c r="Y27" i="1" s="1"/>
  <c r="AD27" i="1" s="1"/>
  <c r="X49" i="1"/>
  <c r="Y49" i="1" s="1"/>
  <c r="AD49" i="1" s="1"/>
  <c r="X54" i="1"/>
  <c r="Y54" i="1" s="1"/>
  <c r="AD54" i="1" s="1"/>
  <c r="X76" i="1"/>
  <c r="Y76" i="1" s="1"/>
  <c r="X79" i="1"/>
  <c r="Y79" i="1" s="1"/>
  <c r="AD79" i="1" s="1"/>
  <c r="X70" i="1"/>
  <c r="Y70" i="1" s="1"/>
  <c r="X94" i="1"/>
  <c r="Y94" i="1" s="1"/>
  <c r="AD94" i="1" s="1"/>
  <c r="X40" i="1"/>
  <c r="Y40" i="1" s="1"/>
  <c r="AD40" i="1" s="1"/>
  <c r="X26" i="1"/>
  <c r="Y26" i="1" s="1"/>
  <c r="AD26" i="1" s="1"/>
  <c r="X105" i="1"/>
  <c r="Y105" i="1" s="1"/>
  <c r="X141" i="1"/>
  <c r="Y141" i="1" s="1"/>
  <c r="X16" i="1"/>
  <c r="Y16" i="1" s="1"/>
  <c r="AD16" i="1" s="1"/>
  <c r="X138" i="1"/>
  <c r="Y138" i="1" s="1"/>
  <c r="X19" i="1"/>
  <c r="Y19" i="1" s="1"/>
  <c r="AD19" i="1" s="1"/>
  <c r="X140" i="1"/>
  <c r="Y140" i="1" s="1"/>
  <c r="X34" i="1"/>
  <c r="Y34" i="1" s="1"/>
  <c r="AD34" i="1" s="1"/>
  <c r="X180" i="1"/>
  <c r="Y180" i="1" s="1"/>
  <c r="X193" i="1"/>
  <c r="Y193" i="1" s="1"/>
  <c r="X118" i="1"/>
  <c r="Y118" i="1" s="1"/>
  <c r="X73" i="1"/>
  <c r="Y73" i="1" s="1"/>
  <c r="AD73" i="1" s="1"/>
  <c r="X20" i="1"/>
  <c r="Y20" i="1" s="1"/>
  <c r="AD20" i="1" s="1"/>
  <c r="X80" i="1"/>
  <c r="Y80" i="1" s="1"/>
  <c r="AD80" i="1" s="1"/>
  <c r="X81" i="1"/>
  <c r="Y81" i="1" s="1"/>
  <c r="AD81" i="1" s="1"/>
  <c r="X82" i="1"/>
  <c r="Y82" i="1" s="1"/>
  <c r="AD82" i="1" s="1"/>
  <c r="X83" i="1"/>
  <c r="Y83" i="1" s="1"/>
  <c r="AD83" i="1" s="1"/>
  <c r="X84" i="1"/>
  <c r="Y84" i="1" s="1"/>
  <c r="AD84" i="1" s="1"/>
  <c r="X85" i="1"/>
  <c r="Y85" i="1" s="1"/>
  <c r="AD85" i="1" s="1"/>
  <c r="X86" i="1"/>
  <c r="Y86" i="1" s="1"/>
  <c r="AD86" i="1" s="1"/>
  <c r="X164" i="1"/>
  <c r="Y164" i="1" s="1"/>
  <c r="AD164" i="1" s="1"/>
  <c r="X154" i="1"/>
  <c r="Y154" i="1" s="1"/>
  <c r="AD154" i="1" s="1"/>
  <c r="X161" i="1"/>
  <c r="Y161" i="1" s="1"/>
  <c r="AD161" i="1" s="1"/>
  <c r="X8" i="1"/>
  <c r="Y8" i="1" s="1"/>
  <c r="AD8" i="1" s="1"/>
  <c r="X6" i="1"/>
  <c r="Y6" i="1" s="1"/>
  <c r="AD6" i="1" s="1"/>
  <c r="X31" i="1"/>
  <c r="Y31" i="1" s="1"/>
  <c r="AD31" i="1" s="1"/>
  <c r="X25" i="1"/>
  <c r="Y25" i="1" s="1"/>
  <c r="AD25" i="1" s="1"/>
  <c r="X182" i="1"/>
  <c r="Y182" i="1" s="1"/>
  <c r="X10" i="1"/>
  <c r="Y10" i="1" s="1"/>
  <c r="X189" i="1"/>
  <c r="Y189" i="1" s="1"/>
  <c r="X191" i="1"/>
  <c r="Y191" i="1" s="1"/>
  <c r="X106" i="1"/>
  <c r="Y106" i="1" s="1"/>
  <c r="AD106" i="1" s="1"/>
  <c r="X130" i="1"/>
  <c r="Y130" i="1" s="1"/>
  <c r="X4" i="1"/>
  <c r="Y4" i="1" s="1"/>
  <c r="X196" i="1"/>
  <c r="Y196" i="1" s="1"/>
  <c r="X67" i="1"/>
  <c r="Y67" i="1" s="1"/>
  <c r="X95" i="1"/>
  <c r="Y95" i="1" s="1"/>
  <c r="X14" i="1"/>
  <c r="Y14" i="1" s="1"/>
  <c r="X116" i="1"/>
  <c r="Y116" i="1" s="1"/>
  <c r="X108" i="1"/>
  <c r="Y108" i="1" s="1"/>
  <c r="X139" i="1"/>
  <c r="Y139" i="1" s="1"/>
  <c r="X194" i="1"/>
  <c r="Y194" i="1" s="1"/>
  <c r="X187" i="1"/>
  <c r="Y187" i="1" s="1"/>
  <c r="X186" i="1"/>
  <c r="Y186" i="1" s="1"/>
  <c r="X192" i="1"/>
  <c r="Y192" i="1" s="1"/>
  <c r="X185" i="1"/>
  <c r="Y185" i="1" s="1"/>
  <c r="X183" i="1"/>
  <c r="Y183" i="1" s="1"/>
  <c r="AD183" i="1" s="1"/>
  <c r="X188" i="1"/>
  <c r="Y188" i="1" s="1"/>
  <c r="X198" i="1"/>
  <c r="Y198" i="1" s="1"/>
  <c r="X184" i="1"/>
  <c r="Y184" i="1" s="1"/>
  <c r="X181" i="1"/>
  <c r="Y181" i="1" s="1"/>
  <c r="X195" i="1"/>
  <c r="Y195" i="1" s="1"/>
  <c r="Z111" i="1"/>
  <c r="Z74" i="1"/>
  <c r="Z21" i="1"/>
  <c r="Z39" i="1"/>
  <c r="Z91" i="1"/>
  <c r="Z87" i="1"/>
  <c r="Z157" i="1"/>
  <c r="Z156" i="1"/>
  <c r="Z155" i="1"/>
  <c r="Z153" i="1"/>
  <c r="Z150" i="1"/>
  <c r="Z158" i="1"/>
  <c r="Z9" i="1"/>
  <c r="Z15" i="1"/>
  <c r="Z11" i="1"/>
  <c r="Z27" i="1"/>
  <c r="Z49" i="1"/>
  <c r="Z54" i="1"/>
  <c r="Z76" i="1"/>
  <c r="Z79" i="1"/>
  <c r="Z70" i="1"/>
  <c r="Z94" i="1"/>
  <c r="Z7" i="1"/>
  <c r="Z40" i="1"/>
  <c r="Z26" i="1"/>
  <c r="Z105" i="1"/>
  <c r="Z141" i="1"/>
  <c r="Z16" i="1"/>
  <c r="Z138" i="1"/>
  <c r="Z19" i="1"/>
  <c r="Z140" i="1"/>
  <c r="Z34" i="1"/>
  <c r="Z180" i="1"/>
  <c r="Z193" i="1"/>
  <c r="Z118" i="1"/>
  <c r="Z73" i="1"/>
  <c r="Z20" i="1"/>
  <c r="Z80" i="1"/>
  <c r="Z81" i="1"/>
  <c r="Z82" i="1"/>
  <c r="Z83" i="1"/>
  <c r="Z84" i="1"/>
  <c r="Z85" i="1"/>
  <c r="Z86" i="1"/>
  <c r="Z164" i="1"/>
  <c r="Z154" i="1"/>
  <c r="Z161" i="1"/>
  <c r="Z8" i="1"/>
  <c r="Z6" i="1"/>
  <c r="Z31" i="1"/>
  <c r="Z25" i="1"/>
  <c r="Z182" i="1"/>
  <c r="Z10" i="1"/>
  <c r="Z189" i="1"/>
  <c r="Z191" i="1"/>
  <c r="Z106" i="1"/>
  <c r="Z130" i="1"/>
  <c r="Z4" i="1"/>
  <c r="Z196" i="1"/>
  <c r="Z67" i="1"/>
  <c r="Z95" i="1"/>
  <c r="Z14" i="1"/>
  <c r="Z116" i="1"/>
  <c r="Z108" i="1"/>
  <c r="Z139" i="1"/>
  <c r="Z194" i="1"/>
  <c r="Z187" i="1"/>
  <c r="Z186" i="1"/>
  <c r="Z192" i="1"/>
  <c r="Z185" i="1"/>
  <c r="Z183" i="1"/>
  <c r="Z188" i="1"/>
  <c r="Z198" i="1"/>
  <c r="Z184" i="1"/>
  <c r="Z181" i="1"/>
  <c r="Z195" i="1"/>
  <c r="Q180" i="1"/>
  <c r="R180" i="1" s="1"/>
  <c r="Q181" i="1"/>
  <c r="R181" i="1" s="1"/>
  <c r="Q34" i="1"/>
  <c r="L2" i="1" s="1" a="1"/>
  <c r="L2" i="1" s="1"/>
  <c r="T141" i="1"/>
  <c r="T178" i="1"/>
  <c r="T151" i="1"/>
  <c r="T159" i="1"/>
  <c r="T119" i="1"/>
  <c r="T105" i="1"/>
  <c r="T176" i="1"/>
  <c r="T175" i="1"/>
  <c r="T171" i="1"/>
  <c r="T174" i="1"/>
  <c r="T160" i="1"/>
  <c r="T177" i="1"/>
  <c r="T179" i="1"/>
  <c r="T70" i="1"/>
  <c r="R34" i="1" l="1"/>
  <c r="R204" i="1" s="1"/>
  <c r="I2" i="1"/>
  <c r="G2" i="17" s="1"/>
  <c r="AP204" i="1"/>
  <c r="AR204" i="1"/>
  <c r="D2" i="1" a="1"/>
  <c r="D2" i="1" s="1"/>
  <c r="AD7" i="1"/>
  <c r="T136" i="1"/>
  <c r="T147" i="1"/>
  <c r="T172" i="1"/>
  <c r="T79" i="1"/>
  <c r="T92" i="1"/>
  <c r="T129" i="1"/>
  <c r="T163" i="1"/>
  <c r="T152" i="1"/>
  <c r="T148" i="1"/>
  <c r="T137" i="1"/>
  <c r="T49" i="1"/>
  <c r="T54" i="1"/>
  <c r="T76" i="1"/>
  <c r="T94" i="1"/>
  <c r="N1" i="17" l="1"/>
  <c r="AS14" i="19" s="1"/>
  <c r="AS17" i="19" s="1"/>
  <c r="C14" i="19"/>
  <c r="AK14" i="19" s="1"/>
  <c r="AN205" i="1"/>
  <c r="AQ205" i="1"/>
  <c r="AR205" i="1"/>
  <c r="AP205" i="1"/>
  <c r="AS205" i="1"/>
  <c r="AO205" i="1"/>
  <c r="AM205" i="1"/>
  <c r="F2" i="1" a="1"/>
  <c r="F2" i="1" s="1"/>
  <c r="K2" i="1" a="1"/>
  <c r="K2" i="1" s="1"/>
  <c r="J2" i="1" a="1"/>
  <c r="J2" i="1" s="1"/>
  <c r="E2" i="1" a="1"/>
  <c r="E2" i="1" s="1"/>
  <c r="H2" i="1" a="1"/>
  <c r="H2" i="1" s="1"/>
  <c r="G2" i="1" a="1"/>
  <c r="G2" i="1" s="1"/>
  <c r="C15" i="19" s="1"/>
  <c r="AK15" i="19" s="1"/>
  <c r="T187" i="1"/>
  <c r="T186" i="1"/>
  <c r="T192" i="1"/>
  <c r="T185" i="1"/>
  <c r="T183" i="1"/>
  <c r="T188" i="1"/>
  <c r="T198" i="1"/>
  <c r="T80" i="1"/>
  <c r="T81" i="1"/>
  <c r="T82" i="1"/>
  <c r="T83" i="1"/>
  <c r="T84" i="1"/>
  <c r="T85" i="1"/>
  <c r="T86" i="1"/>
  <c r="T164" i="1"/>
  <c r="T154" i="1"/>
  <c r="T161" i="1"/>
  <c r="T8" i="1"/>
  <c r="T6" i="1"/>
  <c r="T31" i="1"/>
  <c r="T25" i="1"/>
  <c r="T111" i="1"/>
  <c r="T91" i="1"/>
  <c r="T87" i="1"/>
  <c r="T157" i="1"/>
  <c r="T156" i="1"/>
  <c r="T155" i="1"/>
  <c r="T153" i="1"/>
  <c r="T150" i="1"/>
  <c r="T158" i="1"/>
  <c r="T9" i="1"/>
  <c r="T27" i="1"/>
  <c r="T7" i="1"/>
  <c r="T40" i="1"/>
  <c r="T26" i="1"/>
  <c r="M2" i="1" l="1"/>
  <c r="B8" i="21"/>
  <c r="C17" i="19"/>
  <c r="AK205" i="1"/>
  <c r="Q2" i="1"/>
  <c r="T16" i="1"/>
  <c r="T138" i="1" l="1"/>
  <c r="T19" i="1"/>
  <c r="T181" i="1" l="1"/>
  <c r="T195" i="1"/>
  <c r="T180" i="1"/>
  <c r="T193" i="1"/>
  <c r="T194" i="1"/>
  <c r="T184" i="1"/>
  <c r="T139" i="1"/>
  <c r="T14" i="1"/>
  <c r="T108" i="1"/>
  <c r="T116" i="1"/>
  <c r="T4" i="1"/>
  <c r="T196" i="1"/>
  <c r="T130" i="1"/>
  <c r="T67" i="1"/>
  <c r="T95" i="1"/>
  <c r="T182" i="1"/>
  <c r="T10" i="1"/>
  <c r="T189" i="1"/>
  <c r="T191" i="1"/>
  <c r="T106" i="1"/>
  <c r="T118" i="1"/>
  <c r="T73" i="1"/>
  <c r="T20" i="1"/>
  <c r="T74" i="1"/>
  <c r="T21" i="1"/>
  <c r="T39" i="1"/>
  <c r="T15" i="1"/>
  <c r="T11" i="1"/>
  <c r="T140" i="1"/>
  <c r="T34" i="1"/>
  <c r="I110" i="18"/>
  <c r="I112" i="18"/>
  <c r="N14" i="18" s="1"/>
  <c r="N15" i="18" s="1"/>
  <c r="D9" i="19" s="1"/>
  <c r="G9" i="19" l="1"/>
  <c r="G15" i="19" s="1"/>
  <c r="J25" i="19"/>
  <c r="J26" i="19" s="1"/>
  <c r="J27" i="19" s="1"/>
  <c r="J28" i="19" s="1"/>
  <c r="J29" i="19" s="1"/>
  <c r="AK9" i="19"/>
  <c r="AK17" i="19" s="1"/>
  <c r="AJ9" i="19"/>
  <c r="D17" i="19"/>
  <c r="F3" i="21" l="1"/>
  <c r="L19" i="19"/>
  <c r="E25" i="19"/>
  <c r="D3" i="19"/>
  <c r="AL9" i="19"/>
  <c r="AL17" i="19" s="1"/>
  <c r="AJ17" i="19"/>
  <c r="T19" i="19" l="1"/>
  <c r="M19" i="19"/>
  <c r="H26" i="19" s="1"/>
  <c r="E26" i="19"/>
  <c r="L3" i="21"/>
  <c r="G3" i="21"/>
  <c r="G4" i="21" l="1"/>
  <c r="H3" i="21"/>
  <c r="L10" i="21"/>
  <c r="J3" i="21"/>
  <c r="J4" i="21" s="1"/>
  <c r="J5" i="21" s="1"/>
  <c r="J6" i="21" s="1"/>
  <c r="J7" i="21" s="1"/>
  <c r="AB19" i="19"/>
  <c r="U19" i="19"/>
  <c r="H27" i="19" s="1"/>
  <c r="E27" i="19"/>
  <c r="AM19" i="19" l="1"/>
  <c r="E28" i="19"/>
  <c r="AC19" i="19"/>
  <c r="H28" i="19" s="1"/>
  <c r="G5" i="21"/>
  <c r="H4" i="21"/>
  <c r="E4" i="21"/>
  <c r="G6" i="21" l="1"/>
  <c r="H5" i="21"/>
  <c r="E5" i="21"/>
  <c r="AN19" i="19"/>
  <c r="H29" i="19" s="1"/>
  <c r="E29" i="19"/>
  <c r="G7" i="21" l="1"/>
  <c r="H6" i="21"/>
  <c r="E6" i="21"/>
  <c r="H7" i="21" l="1"/>
  <c r="E7"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tc={17F27691-D6AD-49C1-BAEF-B45955B84D55}</author>
    <author>tc={14FF7B16-C03D-4227-ACA4-81A94A97BCF2}</author>
    <author>tc={8FD332BC-5421-4134-9D44-6FAD86329640}</author>
    <author>tc={AF4C8558-86A5-4556-8E91-DFB5E00C0348}</author>
    <author>tc={E42AFF57-2F59-4D73-A30A-9D8C0C91845C}</author>
    <author>Alice Godefroy</author>
    <author>tc={3EAB1672-BC38-4F11-9520-52B8DC7B8A87}</author>
    <author>Alice GODEFROY</author>
  </authors>
  <commentList>
    <comment ref="P8" authorId="0" shapeId="0" xr:uid="{17F27691-D6AD-49C1-BAEF-B45955B84D55}">
      <text>
        <t>[Threaded comment]
Your version of Excel allows you to read this threaded comment; however, any edits to it will get removed if the file is opened in a newer version of Excel. Learn more: https://go.microsoft.com/fwlink/?linkid=870924
Comment:
    20 MACHINES</t>
      </text>
    </comment>
    <comment ref="Q8" authorId="1" shapeId="0" xr:uid="{14FF7B16-C03D-4227-ACA4-81A94A97BCF2}">
      <text>
        <t xml:space="preserve">[Threaded comment]
Your version of Excel allows you to read this threaded comment; however, any edits to it will get removed if the file is opened in a newer version of Excel. Learn more: https://go.microsoft.com/fwlink/?linkid=870924
Comment:
    PORTE GALET FIXE SU 97.59€
PORTE GALET INF F&amp;M 128.41€
CALE PORTE GALET 4.94€ 
Assemblage 33.50€
POIGNEE 5.72€
ROULEMENT INT20 EXT42  2.64€
INSERT FENDU M8
PION VERROUILLAGE 4.44€
DOUILLE PERCAGE 11.23€
VIS CHC M8*25
RONDELLE BELLEVILLE 0.105€
VIS CHC M10*70  0.25€
GOUPILLE CYLINDRIQUE A 16*100 1.24€
VIS CHC M5*16
</t>
      </text>
    </comment>
    <comment ref="P9" authorId="2" shapeId="0" xr:uid="{8FD332BC-5421-4134-9D44-6FAD86329640}">
      <text>
        <t>[Threaded comment]
Your version of Excel allows you to read this threaded comment; however, any edits to it will get removed if the file is opened in a newer version of Excel. Learn more: https://go.microsoft.com/fwlink/?linkid=870924
Comment:
    20 MACHINES</t>
      </text>
    </comment>
    <comment ref="Q9" authorId="3" shapeId="0" xr:uid="{AF4C8558-86A5-4556-8E91-DFB5E00C0348}">
      <text>
        <t>[Threaded comment]
Your version of Excel allows you to read this threaded comment; however, any edits to it will get removed if the file is opened in a newer version of Excel. Learn more: https://go.microsoft.com/fwlink/?linkid=870924
Comment:
    PORTE GALET FIXE SU 97.59€
PORTE GALET INF F&amp;M 128.41€
CALE PORTE GALET 4.94€ 
Assemblage 33.68€
POIGNEE 5.72€
ROULEMENT INT20 EXT42  2.64€
DOUILLE PERCAGE 11.23€
VIS CHC M8*25
RONDELLE BELLEVILLE 0.105€
VIS CHC M10*70  0.25€
GOUPILLE CYLINDRIQUE A 16*100 1.24€
VIS CHC M5*16</t>
      </text>
    </comment>
    <comment ref="Q69" authorId="4" shapeId="0" xr:uid="{E42AFF57-2F59-4D73-A30A-9D8C0C91845C}">
      <text>
        <t>[Threaded comment]
Your version of Excel allows you to read this threaded comment; however, any edits to it will get removed if the file is opened in a newer version of Excel. Learn more: https://go.microsoft.com/fwlink/?linkid=870924
Comment:
    Retouche +98€/p</t>
      </text>
    </comment>
    <comment ref="D92" authorId="5" shapeId="0" xr:uid="{D6FCBD8C-AC02-4DCC-A50D-97390813F2D4}">
      <text>
        <r>
          <rPr>
            <b/>
            <sz val="9"/>
            <color indexed="81"/>
            <rFont val="Tahoma"/>
            <family val="2"/>
          </rPr>
          <t>Alice Godefroy:</t>
        </r>
        <r>
          <rPr>
            <sz val="9"/>
            <color indexed="81"/>
            <rFont val="Tahoma"/>
            <family val="2"/>
          </rPr>
          <t xml:space="preserve">
1 pour l'avaloir
2 guide de sortie</t>
        </r>
      </text>
    </comment>
    <comment ref="E92" authorId="5" shapeId="0" xr:uid="{2D2507D7-FFBF-4BB2-A888-F57163E97262}">
      <text>
        <r>
          <rPr>
            <b/>
            <sz val="9"/>
            <color indexed="81"/>
            <rFont val="Tahoma"/>
            <family val="2"/>
          </rPr>
          <t>Alice Godefroy:</t>
        </r>
        <r>
          <rPr>
            <sz val="9"/>
            <color indexed="81"/>
            <rFont val="Tahoma"/>
            <family val="2"/>
          </rPr>
          <t xml:space="preserve">
1 avaloir
2 guide de sortie</t>
        </r>
      </text>
    </comment>
    <comment ref="D147" authorId="5" shapeId="0" xr:uid="{73A06B95-27D9-492F-9696-A9EFE46ECFB1}">
      <text>
        <r>
          <rPr>
            <b/>
            <sz val="9"/>
            <color indexed="81"/>
            <rFont val="Tahoma"/>
            <family val="2"/>
          </rPr>
          <t>Alice Godefroy:</t>
        </r>
        <r>
          <rPr>
            <sz val="9"/>
            <color indexed="81"/>
            <rFont val="Tahoma"/>
            <family val="2"/>
          </rPr>
          <t xml:space="preserve">
2 pour les guides de sortie
1 avaloir
4 pour les poignées</t>
        </r>
      </text>
    </comment>
    <comment ref="E147" authorId="5" shapeId="0" xr:uid="{473A3612-B6FB-4474-AF1A-EC1D8835BF26}">
      <text>
        <r>
          <rPr>
            <b/>
            <sz val="9"/>
            <color indexed="81"/>
            <rFont val="Tahoma"/>
            <family val="2"/>
          </rPr>
          <t>Alice Godefroy:</t>
        </r>
        <r>
          <rPr>
            <sz val="9"/>
            <color indexed="81"/>
            <rFont val="Tahoma"/>
            <family val="2"/>
          </rPr>
          <t xml:space="preserve">
2 pour les guides de sortie
1 avaloir
4 pour les poignées</t>
        </r>
      </text>
    </comment>
    <comment ref="Q173" authorId="6" shapeId="0" xr:uid="{3EAB1672-BC38-4F11-9520-52B8DC7B8A87}">
      <text>
        <t>[Threaded comment]
Your version of Excel allows you to read this threaded comment; however, any edits to it will get removed if the file is opened in a newer version of Excel. Learn more: https://go.microsoft.com/fwlink/?linkid=870924
Comment:
    19.90 le rouleau de 1000 pastille + 10.90 de frais de livraison</t>
      </text>
    </comment>
    <comment ref="Q180" authorId="7" shapeId="0" xr:uid="{485F3FDA-7AC2-4225-81C0-3DF25020CB90}">
      <text>
        <r>
          <rPr>
            <sz val="11"/>
            <color theme="1"/>
            <rFont val="Calibri"/>
            <family val="2"/>
            <scheme val="minor"/>
          </rPr>
          <t>Alice GODEFROY:
2023/07/DW/16
630€/2+2*8€+12*12€
soit frais de transport pour 2 palettes de Coupe</t>
        </r>
      </text>
    </comment>
    <comment ref="Q181" authorId="7" shapeId="0" xr:uid="{5F95541B-8C7B-436A-90CC-8C39258FD72A}">
      <text>
        <r>
          <rPr>
            <sz val="11"/>
            <color theme="1"/>
            <rFont val="Calibri"/>
            <family val="2"/>
            <scheme val="minor"/>
          </rPr>
          <t>Alice GODEFROY:
INVOICE 2023/08/DW/8
frais de transport
3 palettes 3*8€
18 réhausses 18*12€
frais expé/trp 405€
total 645€
à diviser par 30 mobilités</t>
        </r>
      </text>
    </comment>
    <comment ref="U183" authorId="5" shapeId="0" xr:uid="{D5B2EE85-CEE7-4409-B32C-9AA59A70A64F}">
      <text>
        <r>
          <rPr>
            <b/>
            <sz val="9"/>
            <color indexed="81"/>
            <rFont val="Tahoma"/>
            <family val="2"/>
          </rPr>
          <t>Alice Godefroy:</t>
        </r>
        <r>
          <rPr>
            <sz val="9"/>
            <color indexed="81"/>
            <rFont val="Tahoma"/>
            <family val="2"/>
          </rPr>
          <t xml:space="preserve">
90 2000pts
60 360 pts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 Frappier</author>
  </authors>
  <commentList>
    <comment ref="J26" authorId="0" shapeId="0" xr:uid="{5164DE9A-587F-45E2-9137-097FCDEEED1F}">
      <text>
        <r>
          <rPr>
            <b/>
            <sz val="9"/>
            <color indexed="81"/>
            <rFont val="Tahoma"/>
            <family val="2"/>
          </rPr>
          <t>Simon Frappier:</t>
        </r>
        <r>
          <rPr>
            <sz val="9"/>
            <color indexed="81"/>
            <rFont val="Tahoma"/>
            <family val="2"/>
          </rPr>
          <t xml:space="preserve">
ASM2, usinage à partir d'un pignon standard module 2 (usinage clavette et roulement)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tc={828FFB91-C8B9-40BF-95A0-EA418A19374C}</author>
  </authors>
  <commentList>
    <comment ref="B8" authorId="0" shapeId="0" xr:uid="{828FFB91-C8B9-40BF-95A0-EA418A19374C}">
      <text>
        <t>[Threaded comment]
Your version of Excel allows you to read this threaded comment; however, any edits to it will get removed if the file is opened in a newer version of Excel. Learn more: https://go.microsoft.com/fwlink/?linkid=870924
Comment:
    cout de chaque module (onglet data) + 600€ de MO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Simon Frappier</author>
    <author>tc={65CF3F16-D23A-4B09-893F-C8F9539CCC14}</author>
    <author>tc={5505123D-0BE7-4CEB-B6CF-B63D764C5605}</author>
    <author>tc={DF774CFF-A211-496C-8904-1364A045C626}</author>
    <author>tc={F725BC31-951E-433D-B6E6-FB9B7241B961}</author>
    <author>tc={70683551-6081-4E95-89B2-A70135FB452F}</author>
    <author>tc={6116A6FD-A7A1-46D1-9E91-76638525DE3F}</author>
    <author>tc={FA4A225B-68E7-41E7-BE4E-412C7B723808}</author>
  </authors>
  <commentList>
    <comment ref="C2" authorId="0" shapeId="0" xr:uid="{6F50AEF2-FB61-49E5-A266-22EA304626BE}">
      <text>
        <r>
          <rPr>
            <b/>
            <sz val="9"/>
            <color indexed="81"/>
            <rFont val="Tahoma"/>
            <family val="2"/>
          </rPr>
          <t>Simon Frappier:</t>
        </r>
        <r>
          <rPr>
            <sz val="9"/>
            <color indexed="81"/>
            <rFont val="Tahoma"/>
            <family val="2"/>
          </rPr>
          <t xml:space="preserve">
Sources prix : N:\NPD (BE)\02. GAMME BLEUE\MACHINES et PETITS EQUIPEMENTS\BISREPETITA_RESTORED_20250204_155816\P201001 P46-2\30_Achats\0 - CHASSIS\Chassis indice M</t>
        </r>
      </text>
    </comment>
    <comment ref="Q3" authorId="1" shapeId="0" xr:uid="{65CF3F16-D23A-4B09-893F-C8F9539CCC14}">
      <text>
        <t>[Threaded comment]
Your version of Excel allows you to read this threaded comment; however, any edits to it will get removed if the file is opened in a newer version of Excel. Learn more: https://go.microsoft.com/fwlink/?linkid=870924
Comment:
    Alu</t>
      </text>
    </comment>
    <comment ref="Q4" authorId="2" shapeId="0" xr:uid="{5505123D-0BE7-4CEB-B6CF-B63D764C5605}">
      <text>
        <t xml:space="preserve">[Threaded comment]
Your version of Excel allows you to read this threaded comment; however, any edits to it will get removed if the file is opened in a newer version of Excel. Learn more: https://go.microsoft.com/fwlink/?linkid=870924
Comment:
    alu
</t>
      </text>
    </comment>
    <comment ref="Q5" authorId="3" shapeId="0" xr:uid="{DF774CFF-A211-496C-8904-1364A045C626}">
      <text>
        <t>[Threaded comment]
Your version of Excel allows you to read this threaded comment; however, any edits to it will get removed if the file is opened in a newer version of Excel. Learn more: https://go.microsoft.com/fwlink/?linkid=870924
Comment:
    Alu</t>
      </text>
    </comment>
    <comment ref="Q10" authorId="4" shapeId="0" xr:uid="{F725BC31-951E-433D-B6E6-FB9B7241B961}">
      <text>
        <t>[Threaded comment]
Your version of Excel allows you to read this threaded comment; however, any edits to it will get removed if the file is opened in a newer version of Excel. Learn more: https://go.microsoft.com/fwlink/?linkid=870924
Comment:
    alu
Reply:
    alu</t>
      </text>
    </comment>
    <comment ref="Q11" authorId="5" shapeId="0" xr:uid="{70683551-6081-4E95-89B2-A70135FB452F}">
      <text>
        <t>[Threaded comment]
Your version of Excel allows you to read this threaded comment; however, any edits to it will get removed if the file is opened in a newer version of Excel. Learn more: https://go.microsoft.com/fwlink/?linkid=870924
Comment:
    alu</t>
      </text>
    </comment>
    <comment ref="T69" authorId="6" shapeId="0" xr:uid="{6116A6FD-A7A1-46D1-9E91-76638525DE3F}">
      <text>
        <t xml:space="preserve">[Threaded comment]
Your version of Excel allows you to read this threaded comment; however, any edits to it will get removed if the file is opened in a newer version of Excel. Learn more: https://go.microsoft.com/fwlink/?linkid=870924
Comment:
    Estimation
</t>
      </text>
    </comment>
    <comment ref="T70" authorId="7" shapeId="0" xr:uid="{FA4A225B-68E7-41E7-BE4E-412C7B723808}">
      <text>
        <t>[Threaded comment]
Your version of Excel allows you to read this threaded comment; however, any edits to it will get removed if the file is opened in a newer version of Excel. Learn more: https://go.microsoft.com/fwlink/?linkid=870924
Comment:
    estimation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Simon Frappier</author>
  </authors>
  <commentList>
    <comment ref="C2" authorId="0" shapeId="0" xr:uid="{29297424-3995-4EEB-B14B-40C7E7D26CB9}">
      <text>
        <r>
          <rPr>
            <b/>
            <sz val="9"/>
            <color indexed="81"/>
            <rFont val="Tahoma"/>
            <family val="2"/>
          </rPr>
          <t>Simon Frappier:</t>
        </r>
        <r>
          <rPr>
            <sz val="9"/>
            <color indexed="81"/>
            <rFont val="Tahoma"/>
            <family val="2"/>
          </rPr>
          <t xml:space="preserve">
Sources prix : N:\NPD (BE)\02. GAMME BLEUE\MACHINES et PETITS EQUIPEMENTS\BISREPETITA_RESTORED_20250204_155816\P201001 P46-2\30_Achats\0 - CHASSIS\Chassis indice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Simon Frappier</author>
  </authors>
  <commentList>
    <comment ref="C2" authorId="0" shapeId="0" xr:uid="{64F0BF98-2971-494F-BC29-EA661CDF9B8D}">
      <text>
        <r>
          <rPr>
            <b/>
            <sz val="9"/>
            <color indexed="81"/>
            <rFont val="Tahoma"/>
            <family val="2"/>
          </rPr>
          <t>Simon Frappier:</t>
        </r>
        <r>
          <rPr>
            <sz val="9"/>
            <color indexed="81"/>
            <rFont val="Tahoma"/>
            <family val="2"/>
          </rPr>
          <t xml:space="preserve">
Sources prix : N:\NPD (BE)\02. GAMME BLEUE\MACHINES et PETITS EQUIPEMENTS\BISREPETITA_RESTORED_20250204_155816\P201001 P46-2\30_Achats\0 - CHASSIS\Chassis indice 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Simon FRAPPIER</author>
  </authors>
  <commentList>
    <comment ref="S6" authorId="0" shapeId="0" xr:uid="{8E0E0A0A-D967-4896-BE09-FEBCD05851B6}">
      <text>
        <r>
          <rPr>
            <sz val="11"/>
            <color theme="1"/>
            <rFont val="Calibri"/>
            <family val="2"/>
            <scheme val="minor"/>
          </rPr>
          <t>Simon FRAPPIER:
A confirmer avec IGUS</t>
        </r>
      </text>
    </comment>
    <comment ref="Y6" authorId="0" shapeId="0" xr:uid="{C9621E8A-F0A4-4513-B459-C32BFE475358}">
      <text>
        <r>
          <rPr>
            <sz val="11"/>
            <color theme="1"/>
            <rFont val="Calibri"/>
            <family val="2"/>
            <scheme val="minor"/>
          </rPr>
          <t>Simon FRAPPIER:
A confirmer avec IGUS</t>
        </r>
      </text>
    </comment>
    <comment ref="M7" authorId="0" shapeId="0" xr:uid="{B6406C7F-B6EE-458B-A394-5CB7AAB35D0F}">
      <text>
        <r>
          <rPr>
            <sz val="11"/>
            <color theme="1"/>
            <rFont val="Calibri"/>
            <family val="2"/>
            <scheme val="minor"/>
          </rPr>
          <t>Alice GODEFROY:
J0001 Corps de bridage 
SANS ELECTROLYSE : 13.60€
Frein laiton percé : 9.20€
Frein laiton taraudé : 10.20€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Simon Frappier</author>
    <author>Alice GODEFROY</author>
    <author>Simon FRAPPIER</author>
  </authors>
  <commentList>
    <comment ref="C2" authorId="0" shapeId="0" xr:uid="{0567879B-2323-4548-B40A-A2765129265E}">
      <text>
        <r>
          <rPr>
            <b/>
            <sz val="9"/>
            <color indexed="81"/>
            <rFont val="Tahoma"/>
            <family val="2"/>
          </rPr>
          <t>Simon Frappier:</t>
        </r>
        <r>
          <rPr>
            <sz val="9"/>
            <color indexed="81"/>
            <rFont val="Tahoma"/>
            <family val="2"/>
          </rPr>
          <t xml:space="preserve">
Sources prix : N:\NPD (BE)\02. GAMME BLEUE\MACHINES et PETITS EQUIPEMENTS\BISREPETITA_RESTORED_20250204_155816\P201001 P46-2\30_Achats\0 - CHASSIS\Chassis indice M</t>
        </r>
      </text>
    </comment>
    <comment ref="M3" authorId="1" shapeId="0" xr:uid="{755300F9-56C1-4F75-9546-ACFABB622BA7}">
      <text>
        <r>
          <rPr>
            <sz val="11"/>
            <color theme="1"/>
            <rFont val="Calibri"/>
            <family val="2"/>
            <scheme val="minor"/>
          </rPr>
          <t>Alice GODEFROY:
arbre linéaire chromé MISUMI PSFJ30-950-LKC et reprise usinage</t>
        </r>
      </text>
    </comment>
    <comment ref="M12" authorId="1" shapeId="0" xr:uid="{617CC25B-AE18-46ED-BB8A-DAA944BDC926}">
      <text>
        <r>
          <rPr>
            <sz val="11"/>
            <color theme="1"/>
            <rFont val="Calibri"/>
            <family val="2"/>
            <scheme val="minor"/>
          </rPr>
          <t>Alice GODEFROY:
17,40€ sans pignon, ni soudure, ni clavette</t>
        </r>
      </text>
    </comment>
    <comment ref="M13" authorId="2" shapeId="0" xr:uid="{C97EB849-7A58-461A-8140-7169648F5842}">
      <text>
        <r>
          <rPr>
            <sz val="11"/>
            <color theme="1"/>
            <rFont val="Calibri"/>
            <family val="2"/>
            <scheme val="minor"/>
          </rPr>
          <t>Simon FRAPPIER:
Estimation doigt mouillé</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Alice GODEFROY</author>
  </authors>
  <commentList>
    <comment ref="B13" authorId="0" shapeId="0" xr:uid="{731BE55D-6071-4231-A533-B063D63F7227}">
      <text>
        <r>
          <rPr>
            <sz val="11"/>
            <color theme="1"/>
            <rFont val="Calibri"/>
            <family val="2"/>
            <scheme val="minor"/>
          </rPr>
          <t>Alice GODEFROY:
55% de remise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<sst xmlns="http://schemas.openxmlformats.org/spreadsheetml/2006/main" count="4463" uniqueCount="1322">
  <si>
    <t>Étiquettes de colonnes</t>
  </si>
  <si>
    <t>(vide)</t>
  </si>
  <si>
    <t>Somme de TARIF</t>
  </si>
  <si>
    <t>CAPA Machine 2,5/w
+2w de sécu</t>
  </si>
  <si>
    <t>au 27/02</t>
  </si>
  <si>
    <t>REFERENCE</t>
  </si>
  <si>
    <t>DESIGNATION</t>
  </si>
  <si>
    <t>Sous-ensemble</t>
  </si>
  <si>
    <t>086401 - Train mobile équipé pour DIPRO 3x</t>
  </si>
  <si>
    <t>086596 - Train fixe équipé pour DIPRO 3x</t>
  </si>
  <si>
    <t>086403 - Ensemble chassis équipé pour DIPRO 3x</t>
  </si>
  <si>
    <t>086571 - ski central</t>
  </si>
  <si>
    <t>086645 - Ensemble Moteur 110V équipé pour DIPRO 3x</t>
  </si>
  <si>
    <t>086651 - Ensemble Moteur 220V équipé pour DIPRO 3x</t>
  </si>
  <si>
    <t>086944 - Option mobilité - DIPRO 3x</t>
  </si>
  <si>
    <t>086577 - Coupe Transversale réglée - DIPRO 3x</t>
  </si>
  <si>
    <t>086885 - Ensemble Codeur - DIPRO 3x</t>
  </si>
  <si>
    <t>FAMILLE DE PIECE</t>
  </si>
  <si>
    <t>FOURNISSEUR</t>
  </si>
  <si>
    <t>REFERENCE FRS</t>
  </si>
  <si>
    <t>MOQ</t>
  </si>
  <si>
    <t>Prix unitaire</t>
  </si>
  <si>
    <t>tot tarif ligne</t>
  </si>
  <si>
    <t>DELAIS (w)</t>
  </si>
  <si>
    <t>DELAIS (J)</t>
  </si>
  <si>
    <t>STOCK inventaire</t>
  </si>
  <si>
    <t>STOCK disponible</t>
  </si>
  <si>
    <t>SEUIL</t>
  </si>
  <si>
    <t>COUVERTURE W (capa 2,5M/S)</t>
  </si>
  <si>
    <t>date de rupture estimé</t>
  </si>
  <si>
    <t>Alerte commande</t>
  </si>
  <si>
    <t>qté En réappro</t>
  </si>
  <si>
    <t>n° de commande</t>
  </si>
  <si>
    <t>date de livraison réappro</t>
  </si>
  <si>
    <t>couvert avant ruptures</t>
  </si>
  <si>
    <t>STOCK X3</t>
  </si>
  <si>
    <t>STOCK X3 DETAILLE</t>
  </si>
  <si>
    <t>Prix jouanel</t>
  </si>
  <si>
    <t>Actions menées</t>
  </si>
  <si>
    <t>Actions à faire</t>
  </si>
  <si>
    <t>Gain potentiel</t>
  </si>
  <si>
    <t>Colonne2</t>
  </si>
  <si>
    <t>Colonne1</t>
  </si>
  <si>
    <t>Galets</t>
  </si>
  <si>
    <t>Mécano-soudé</t>
  </si>
  <si>
    <t>Pignons</t>
  </si>
  <si>
    <t>Axe</t>
  </si>
  <si>
    <t>Tôlerie laser pliage</t>
  </si>
  <si>
    <t>Entroise Tournage</t>
  </si>
  <si>
    <t>Entretoise fraisage</t>
  </si>
  <si>
    <t>086677</t>
  </si>
  <si>
    <t>Kit electrique équipé 110 / 230V 0.75 Kw mono - DIRPO 3x</t>
  </si>
  <si>
    <t>Moteur équipé</t>
  </si>
  <si>
    <t>Elec</t>
  </si>
  <si>
    <t>SAGELEC</t>
  </si>
  <si>
    <t>Pas de maitrise du sujet</t>
  </si>
  <si>
    <t>- Voir pour remplacer boitier électrique par un boitier standard. Compétence DIMOS interne? Ou externalisation. Gain : Très élevé
- Contacter RR pour avoir boitier directement sur moto-reducteur</t>
  </si>
  <si>
    <t>A évaluer (Jean-Felix, monnier, RR France ?)</t>
  </si>
  <si>
    <t>086484</t>
  </si>
  <si>
    <t>Galet_Ent_Alu_Inf</t>
  </si>
  <si>
    <t>Train</t>
  </si>
  <si>
    <t>ASM2</t>
  </si>
  <si>
    <t>- Comparer avec galet acier + traitement (voir avec ASM2)</t>
  </si>
  <si>
    <t>086500</t>
  </si>
  <si>
    <t>Avaloir fixe DIPRO 3x</t>
  </si>
  <si>
    <t>Avaloir</t>
  </si>
  <si>
    <t>tolerie montage</t>
  </si>
  <si>
    <t>ROBIN</t>
  </si>
  <si>
    <t>Simetal : 188,27€ + transport (50€)</t>
  </si>
  <si>
    <t>- Reconception type Jouanel / Schlebach
- Re-consulter fournisseur</t>
  </si>
  <si>
    <t>Dessiner et chiffrage ROBIN / SOFRAPI</t>
  </si>
  <si>
    <t>086499</t>
  </si>
  <si>
    <t>Avaloir mobile DIPRO 3x</t>
  </si>
  <si>
    <t>Idem au-dessus</t>
  </si>
  <si>
    <t>086505</t>
  </si>
  <si>
    <t>Bloc Alu Train Fixe Assemblé</t>
  </si>
  <si>
    <t>tournage montage</t>
  </si>
  <si>
    <t>MECADYNAMIC</t>
  </si>
  <si>
    <t>Passer de 40 à 60 : pas d'effet sur le prix</t>
  </si>
  <si>
    <t>- Faire consultation pays low cost (enchère inversée ou autre)</t>
  </si>
  <si>
    <t>MECADYNAMIC
2017 / 6060 / autre ?</t>
  </si>
  <si>
    <t>Partir d'un brut avec surfaçage localisé</t>
  </si>
  <si>
    <t>086506</t>
  </si>
  <si>
    <t>Bloc Alu Train Mobile Assemblé</t>
  </si>
  <si>
    <t>Idem autre bloc</t>
  </si>
  <si>
    <t>REDUCTEUR CMB 633 U 1/33.81 D25 IEC90B14 - Dipro D3x (inclus vis TH M8x20 zingué)</t>
  </si>
  <si>
    <t>moteur</t>
  </si>
  <si>
    <t>RR France</t>
  </si>
  <si>
    <t>CMB633U33D2590B1</t>
  </si>
  <si>
    <t>68L - 21D</t>
  </si>
  <si>
    <t>Plusieurs consultations faites. RR le plus eco</t>
  </si>
  <si>
    <t>Voir au-dessus</t>
  </si>
  <si>
    <t>Rien à faire</t>
  </si>
  <si>
    <t>086416</t>
  </si>
  <si>
    <t xml:space="preserve">Pignon 20 dents galet </t>
  </si>
  <si>
    <t>pignon</t>
  </si>
  <si>
    <t>NUMEC</t>
  </si>
  <si>
    <t>D12311ACN00210</t>
  </si>
  <si>
    <t>Passer sur std, puis chiffrer</t>
  </si>
  <si>
    <t>Chiffrer standard MISUMI / jouanel Standard ? Dureté</t>
  </si>
  <si>
    <t>086475</t>
  </si>
  <si>
    <t>Galette</t>
  </si>
  <si>
    <t>A étudier matière quantité traitement solution poids dimensionnel</t>
  </si>
  <si>
    <t>086501</t>
  </si>
  <si>
    <t>CHASSIS VISSE</t>
  </si>
  <si>
    <t xml:space="preserve">Chassis </t>
  </si>
  <si>
    <t>assemblage</t>
  </si>
  <si>
    <t>SIMETAL</t>
  </si>
  <si>
    <t>D12403ACN00033</t>
  </si>
  <si>
    <t>Design to cost fait (plus de surfaçage)</t>
  </si>
  <si>
    <t xml:space="preserve">Design to cost Simetal : </t>
  </si>
  <si>
    <t>Moins value tôle usinée</t>
  </si>
  <si>
    <t>ON peut encore travailler les pièces usinées (pas d'utilité). Réunion avec Simetal. Solution actuelle DIMOS moins chère à solution Jouanel</t>
  </si>
  <si>
    <t>MOTEUR 230V/50HZ 6M 90S4 1.1KW P4 B14 - Dipro D3x</t>
  </si>
  <si>
    <t>1Q0901T20A</t>
  </si>
  <si>
    <t>35L - 28D</t>
  </si>
  <si>
    <t>086417</t>
  </si>
  <si>
    <t xml:space="preserve">Pignon 20 dents transmission </t>
  </si>
  <si>
    <t>Chiffrer standard MISUMI / jouanel Standard ?</t>
  </si>
  <si>
    <t>086502</t>
  </si>
  <si>
    <t>SUPPORT AXE EQUIPE GAUCHE et DROITE</t>
  </si>
  <si>
    <t xml:space="preserve"> Décomposition prix OK</t>
  </si>
  <si>
    <t>- Re-étudier la fonction chez DIMOS
- Vérification des solution technique avec fournisseur usineur</t>
  </si>
  <si>
    <t>Chiffrer le rail JOUANEL / fonction Dimos</t>
  </si>
  <si>
    <t>086504</t>
  </si>
  <si>
    <t>SUPPORT PALIER MOBILE EQUIPE</t>
  </si>
  <si>
    <t>086503</t>
  </si>
  <si>
    <t>TRANSMISSION CHASSIS</t>
  </si>
  <si>
    <t>Avant chassis équipé.
Après chassis chez SIMETAL et la pignonerie NUMEC</t>
  </si>
  <si>
    <t xml:space="preserve">- Chiffrer axe + pallier Jouanel versus équivalence DIMOS (à voir avec ASM2)
- Moteur non démontable (comme jouanel) suppression support moteur (- 12€, pièce de SIMETAL)
</t>
  </si>
  <si>
    <t>086448</t>
  </si>
  <si>
    <t>Axe épaulé Ø30 v2 - DRIPO 3X</t>
  </si>
  <si>
    <t>Translation</t>
  </si>
  <si>
    <t>commerce</t>
  </si>
  <si>
    <t>MISUMI</t>
  </si>
  <si>
    <t>PSFAG30-923-F38-P25-M16</t>
  </si>
  <si>
    <t>Attente retour commercial</t>
  </si>
  <si>
    <t>Produit du commerce</t>
  </si>
  <si>
    <t>- Chiffrage rail "type Jouanel"</t>
  </si>
  <si>
    <t>Chiffrer le rail JOUANEL / fonction Dimos
Regarder état de surface MISUMI</t>
  </si>
  <si>
    <t>086653</t>
  </si>
  <si>
    <t>Ens Carter sup fixe équipé</t>
  </si>
  <si>
    <t>tolerie</t>
  </si>
  <si>
    <t>Simetal + cher que ROBIN</t>
  </si>
  <si>
    <t>- Avoir le prix d'une boite sans PEHD (Faire 2D + 3D) + consultation</t>
  </si>
  <si>
    <t>086654</t>
  </si>
  <si>
    <t>Ens Carter sup mobile équipé</t>
  </si>
  <si>
    <t>086666</t>
  </si>
  <si>
    <t>Pignon 40 dents</t>
  </si>
  <si>
    <t>Palier à semelle avec serrage verrouillage Droite</t>
  </si>
  <si>
    <t xml:space="preserve">LHBLWC30 </t>
  </si>
  <si>
    <t>Pièces du commerce</t>
  </si>
  <si>
    <t>- Dégrader la fonction. Supprimer l'effet "Waouh"</t>
  </si>
  <si>
    <t>Palier à semelle avec serrage verrouillage Gauche</t>
  </si>
  <si>
    <t>LHBBWC30</t>
  </si>
  <si>
    <t>Attente retour commercial =3,72*</t>
  </si>
  <si>
    <t>idem au-dessus</t>
  </si>
  <si>
    <t>086527</t>
  </si>
  <si>
    <t>Ensemble rail fixe</t>
  </si>
  <si>
    <t>- Système en tole pliée (inox ou tole peinte)</t>
  </si>
  <si>
    <t>Chiffrer rail latéral Inox ROBIN</t>
  </si>
  <si>
    <t>Patin collé</t>
  </si>
  <si>
    <t>086526</t>
  </si>
  <si>
    <t>Ensemble rail mobile</t>
  </si>
  <si>
    <t>Attention dégradation tole lors du passage</t>
  </si>
  <si>
    <t>086780</t>
  </si>
  <si>
    <t>plaque d'appuis porte galet</t>
  </si>
  <si>
    <t>ACI</t>
  </si>
  <si>
    <t>Bride d'arbre Ø30</t>
  </si>
  <si>
    <t>SK30-THK</t>
  </si>
  <si>
    <t>086465</t>
  </si>
  <si>
    <t>Galet mob sup C-D</t>
  </si>
  <si>
    <t>Roulement a biles Øint 20 - Øext 32 - 2 joints - acier</t>
  </si>
  <si>
    <t>123 ROULEMENT</t>
  </si>
  <si>
    <t>61804-2RS</t>
  </si>
  <si>
    <t>Roulements identiques (pas SKF)</t>
  </si>
  <si>
    <t>086516</t>
  </si>
  <si>
    <t xml:space="preserve">Ensemble guide sortie femelle fixe </t>
  </si>
  <si>
    <t>Guide de sortie</t>
  </si>
  <si>
    <t>SOFRAPI</t>
  </si>
  <si>
    <t>Déjà avec le mobile (voir avant)</t>
  </si>
  <si>
    <t>086468</t>
  </si>
  <si>
    <t>Galet mob sup E - F</t>
  </si>
  <si>
    <t>086478</t>
  </si>
  <si>
    <t>Galet fix inf C</t>
  </si>
  <si>
    <t>086571</t>
  </si>
  <si>
    <t>SKI CENTRAL</t>
  </si>
  <si>
    <t>Ski central</t>
  </si>
  <si>
    <t>pièce finie</t>
  </si>
  <si>
    <t>D12403ACN00157</t>
  </si>
  <si>
    <t>086477</t>
  </si>
  <si>
    <t>Galet fix inf B</t>
  </si>
  <si>
    <t>086479</t>
  </si>
  <si>
    <t>Galet fix inf D</t>
  </si>
  <si>
    <t>086440</t>
  </si>
  <si>
    <t>Galet fix sup A - 2</t>
  </si>
  <si>
    <t>086441</t>
  </si>
  <si>
    <t>Galet fix sup B-2</t>
  </si>
  <si>
    <t>086655</t>
  </si>
  <si>
    <t>Carter arrière pour train fixe et mobile - DIPRO 3x</t>
  </si>
  <si>
    <t>Dessiner et chiffrage ROBIN</t>
  </si>
  <si>
    <t>086515</t>
  </si>
  <si>
    <t>Ensemble guide sortie male mobile</t>
  </si>
  <si>
    <t>086476</t>
  </si>
  <si>
    <t>Galet fix inf A</t>
  </si>
  <si>
    <t>086489</t>
  </si>
  <si>
    <t>Galet fix sup C-2</t>
  </si>
  <si>
    <t>086459</t>
  </si>
  <si>
    <t>Galet mob sup A</t>
  </si>
  <si>
    <t>086480</t>
  </si>
  <si>
    <t>Galet fix inf E</t>
  </si>
  <si>
    <t>086491</t>
  </si>
  <si>
    <t>Galet fix sup D-2</t>
  </si>
  <si>
    <t>087021</t>
  </si>
  <si>
    <t>Axe galet entrainé mob inf 1</t>
  </si>
  <si>
    <t>086455</t>
  </si>
  <si>
    <t>Galet mob inf D</t>
  </si>
  <si>
    <t>086483</t>
  </si>
  <si>
    <t>Galet fix sup A-1</t>
  </si>
  <si>
    <t>086782</t>
  </si>
  <si>
    <t>entretoise bridage</t>
  </si>
  <si>
    <t>086457</t>
  </si>
  <si>
    <t>Galet mob inf F</t>
  </si>
  <si>
    <t>086456</t>
  </si>
  <si>
    <t>Galet mob inf E</t>
  </si>
  <si>
    <t>086458</t>
  </si>
  <si>
    <t>Galet mob inf G</t>
  </si>
  <si>
    <t>086462</t>
  </si>
  <si>
    <t>Galet mob sup B - 1</t>
  </si>
  <si>
    <t>086811</t>
  </si>
  <si>
    <t>tole bridage - pied</t>
  </si>
  <si>
    <t>086493</t>
  </si>
  <si>
    <t>Galet Fix sup E</t>
  </si>
  <si>
    <t>086485</t>
  </si>
  <si>
    <t>Galet fix sup B-1</t>
  </si>
  <si>
    <t>086470</t>
  </si>
  <si>
    <t>Galet mob sup G</t>
  </si>
  <si>
    <t>086495</t>
  </si>
  <si>
    <t>Galet fix sup F-2</t>
  </si>
  <si>
    <t>086454</t>
  </si>
  <si>
    <t>Galet mob inf C</t>
  </si>
  <si>
    <t>086481</t>
  </si>
  <si>
    <t>Galet fix inf F</t>
  </si>
  <si>
    <t>086497</t>
  </si>
  <si>
    <t>Galet fix sup G-3</t>
  </si>
  <si>
    <t>086482</t>
  </si>
  <si>
    <t>Galet fix inf G</t>
  </si>
  <si>
    <t>086453</t>
  </si>
  <si>
    <t>Galet mob inf B</t>
  </si>
  <si>
    <t>086452</t>
  </si>
  <si>
    <t>Galet mob inf A</t>
  </si>
  <si>
    <t>086488</t>
  </si>
  <si>
    <t>Galet fix sup C-1</t>
  </si>
  <si>
    <t>086490</t>
  </si>
  <si>
    <t>Galet fix sup D-1</t>
  </si>
  <si>
    <t>086734</t>
  </si>
  <si>
    <t>Support boitier electrique - DIPRO 3x</t>
  </si>
  <si>
    <t>086492</t>
  </si>
  <si>
    <t>Galet fix sup E-1</t>
  </si>
  <si>
    <t>086469</t>
  </si>
  <si>
    <t>Galet Mob sup G caoutchouc</t>
  </si>
  <si>
    <t>087046</t>
  </si>
  <si>
    <t>entretoise fileté engrenage</t>
  </si>
  <si>
    <t>087030</t>
  </si>
  <si>
    <t>Axe galet inversé</t>
  </si>
  <si>
    <t>086496</t>
  </si>
  <si>
    <t>Galet fix sup G-1</t>
  </si>
  <si>
    <t>086652</t>
  </si>
  <si>
    <t>Carter inférieure femelle fixe DIPRO 3x</t>
  </si>
  <si>
    <t>Supprimer ajourage</t>
  </si>
  <si>
    <t>086649</t>
  </si>
  <si>
    <t>Cater inférieure train male mobile - DIPRO 3x</t>
  </si>
  <si>
    <t>086494</t>
  </si>
  <si>
    <t>Galet fix sup F-1</t>
  </si>
  <si>
    <t>086536</t>
  </si>
  <si>
    <t>Entretoise bloc alu</t>
  </si>
  <si>
    <t>087025</t>
  </si>
  <si>
    <t>Axe galet libre F-G</t>
  </si>
  <si>
    <t>087033</t>
  </si>
  <si>
    <t>Axe galet libre mobile CD</t>
  </si>
  <si>
    <t>086450</t>
  </si>
  <si>
    <t>Entretoise galet engrenage</t>
  </si>
  <si>
    <t>087016</t>
  </si>
  <si>
    <t>Axe galet entrainé A</t>
  </si>
  <si>
    <t>087013</t>
  </si>
  <si>
    <t>Axe galet entrainé B</t>
  </si>
  <si>
    <t>087011</t>
  </si>
  <si>
    <t>Axe galet entrainé C</t>
  </si>
  <si>
    <t>087015</t>
  </si>
  <si>
    <t>Axe galet entrainé D</t>
  </si>
  <si>
    <t>087012</t>
  </si>
  <si>
    <t>Axe galet entrainé E</t>
  </si>
  <si>
    <t>087010</t>
  </si>
  <si>
    <t>Axe galet entrainé F</t>
  </si>
  <si>
    <t>087014</t>
  </si>
  <si>
    <t>Axe galet entrainé G</t>
  </si>
  <si>
    <t>087018</t>
  </si>
  <si>
    <t>Axe galet entrainé mob inf G</t>
  </si>
  <si>
    <t>087019</t>
  </si>
  <si>
    <t>Axe galet entrainé mob inf 3</t>
  </si>
  <si>
    <t>087017</t>
  </si>
  <si>
    <t>Axe galet entrainé mob inf D</t>
  </si>
  <si>
    <t>087020</t>
  </si>
  <si>
    <t>Axe galet entrainé mob inf E</t>
  </si>
  <si>
    <t>087022</t>
  </si>
  <si>
    <t>Axe galet entrainé mob inf F</t>
  </si>
  <si>
    <t>005965</t>
  </si>
  <si>
    <t>RONDELLE PLATE M8X25 Ep 3 Inox A2</t>
  </si>
  <si>
    <t>visserie</t>
  </si>
  <si>
    <t>WSX-SUS-M8X25-3</t>
  </si>
  <si>
    <t>Rondelle en caoutchouc Ø60 ext Ø30 int ep5 (shore A70) avec adhesif</t>
  </si>
  <si>
    <t>WRBNA60-30-5</t>
  </si>
  <si>
    <t>086474</t>
  </si>
  <si>
    <t>Support Galet incliné</t>
  </si>
  <si>
    <t>086736</t>
  </si>
  <si>
    <t>Support moteur - DIPRO 3x</t>
  </si>
  <si>
    <t>087028</t>
  </si>
  <si>
    <t>Axe galet libre A</t>
  </si>
  <si>
    <t>087024</t>
  </si>
  <si>
    <t>Axe galet libre B</t>
  </si>
  <si>
    <t>087026</t>
  </si>
  <si>
    <t>Axe galet libre C</t>
  </si>
  <si>
    <t>087027</t>
  </si>
  <si>
    <t>Axe galet libre D</t>
  </si>
  <si>
    <t>087029</t>
  </si>
  <si>
    <t>Axe galet libre E</t>
  </si>
  <si>
    <t>087023</t>
  </si>
  <si>
    <t>Axe galet libre mobile G</t>
  </si>
  <si>
    <t>086684</t>
  </si>
  <si>
    <t>Tole protection pignon chassis 3</t>
  </si>
  <si>
    <t>Transmission</t>
  </si>
  <si>
    <t>087031</t>
  </si>
  <si>
    <t>Axe galet libre mobile A</t>
  </si>
  <si>
    <t>087032</t>
  </si>
  <si>
    <t>Axe galet libre mobile B</t>
  </si>
  <si>
    <t>Roulement a biles Øint 15 - Øext 32 - 2 joints - acier</t>
  </si>
  <si>
    <t>6002-2RS</t>
  </si>
  <si>
    <t>Poignée étrier aluminium Ens Moteur - Dipro D3X</t>
  </si>
  <si>
    <t>728-120-A-SW</t>
  </si>
  <si>
    <t>levier de serrage M5 R45 Orange</t>
  </si>
  <si>
    <t>GN 300-45-M5-OS</t>
  </si>
  <si>
    <t>084994</t>
  </si>
  <si>
    <t>Prise BALS 2P + T I/Extérieur Franco-Allemand pour  DIPRO P7200</t>
  </si>
  <si>
    <t>YESS ELECTRIQUE</t>
  </si>
  <si>
    <t>086781</t>
  </si>
  <si>
    <t>Tole protection pignon chassis mobile</t>
  </si>
  <si>
    <t>086899</t>
  </si>
  <si>
    <t>Tole protection pignon chassis mobile 2</t>
  </si>
  <si>
    <t>901145</t>
  </si>
  <si>
    <t>ETIQUETTE PICTOGRAMME AUTOCOLLANTE ECRASEMENT MAINS</t>
  </si>
  <si>
    <t>signalitique</t>
  </si>
  <si>
    <t>SETON</t>
  </si>
  <si>
    <t>087034</t>
  </si>
  <si>
    <t>Entretoise fix sup F3 B1-G2 Ø2</t>
  </si>
  <si>
    <t>087044</t>
  </si>
  <si>
    <t>Entretoise fix sup F3 C1-E1 Ø2</t>
  </si>
  <si>
    <t>087049</t>
  </si>
  <si>
    <t>Entretoise mob sup CD Ø22,5 L8</t>
  </si>
  <si>
    <t>086685</t>
  </si>
  <si>
    <t>Tole protection pignon chassis 4</t>
  </si>
  <si>
    <t>Support prise 220v -  2S ez epdm M8/10</t>
  </si>
  <si>
    <t>005948</t>
  </si>
  <si>
    <t>Vis CHC M16x50 ISO 4762 INOX A2</t>
  </si>
  <si>
    <t>NEWLEAU</t>
  </si>
  <si>
    <t xml:space="preserve">912A2-16X50 </t>
  </si>
  <si>
    <t>086674</t>
  </si>
  <si>
    <t>Plaque identification 150x50 mm - Logo DIPRO 3x</t>
  </si>
  <si>
    <t>ISE Impressions</t>
  </si>
  <si>
    <t>005940</t>
  </si>
  <si>
    <t>Vis BHC M6x16 ISO 7380 inox Classe A2</t>
  </si>
  <si>
    <t xml:space="preserve">7380A2-6X16 </t>
  </si>
  <si>
    <t>087043</t>
  </si>
  <si>
    <t>Entretoise fix sup F3 A2 Ø22,5</t>
  </si>
  <si>
    <t>087039</t>
  </si>
  <si>
    <t>Entretoise fix sup F3 B2 Ø22,5</t>
  </si>
  <si>
    <t>087035</t>
  </si>
  <si>
    <t>Entretoise fix sup F3 C2 Ø22,5</t>
  </si>
  <si>
    <t>087047</t>
  </si>
  <si>
    <t>Entretoise mob sup A Ø22,5 L23</t>
  </si>
  <si>
    <t>Butée caoutchouc M6 H10</t>
  </si>
  <si>
    <t>25150.0421</t>
  </si>
  <si>
    <t>087038</t>
  </si>
  <si>
    <t>Entretoise fix sup F3 A1 Ø22,5</t>
  </si>
  <si>
    <t>087040</t>
  </si>
  <si>
    <t>Entretoise fix sup F3 D1 Ø22,5</t>
  </si>
  <si>
    <t>087045</t>
  </si>
  <si>
    <t>Entretoise fix sup F3 D2 Ø22,5</t>
  </si>
  <si>
    <t>087036</t>
  </si>
  <si>
    <t xml:space="preserve">Entretoise fix sup F3 E Ø22,5 </t>
  </si>
  <si>
    <t>005935</t>
  </si>
  <si>
    <t>Vis CHC M8x16 ISO 4762 inox A2</t>
  </si>
  <si>
    <t>912A2-8X16</t>
  </si>
  <si>
    <t>086675</t>
  </si>
  <si>
    <t>Plaque  identification 70 x 20 mm "Norme CE" - DIPRO 3x</t>
  </si>
  <si>
    <t>087041</t>
  </si>
  <si>
    <t>Entretoise fix sup F3 F1 Ø22,5</t>
  </si>
  <si>
    <t>087037</t>
  </si>
  <si>
    <t>Entretoise fix sup F3 F2 Ø22,5</t>
  </si>
  <si>
    <t>087042</t>
  </si>
  <si>
    <t>Entretoise fix sup F3 G1 Ø22,5</t>
  </si>
  <si>
    <t>087048</t>
  </si>
  <si>
    <t>Entretoise mob sup B Ø22,5 L5,</t>
  </si>
  <si>
    <t>005951</t>
  </si>
  <si>
    <t>Vis CHC M10x80 ISO 4762 INOX A2</t>
  </si>
  <si>
    <t>912A2-10X80</t>
  </si>
  <si>
    <t>Circlips Intérieur Ø32 acier brut</t>
  </si>
  <si>
    <t>472INTBR-32X1.2/200</t>
  </si>
  <si>
    <t>005933</t>
  </si>
  <si>
    <t>Clavette - Wedge forme A 6X6X14 NF E 22-177 DIN 6885A</t>
  </si>
  <si>
    <t>086406</t>
  </si>
  <si>
    <t>Plaque identification 70 x 20 mm châssis - DIPRO 3x</t>
  </si>
  <si>
    <t>086680</t>
  </si>
  <si>
    <t>Plaque identification 70 x 20 mm n° Série Kit elec 230 v - DIPRO 3x</t>
  </si>
  <si>
    <t>086574</t>
  </si>
  <si>
    <t>Plaque identification 70 x 20 mm ski central - DIPRO 3x</t>
  </si>
  <si>
    <t>086409</t>
  </si>
  <si>
    <t>Plaque identification 70 x 20 mm train mobile équipé - DIPRO 3x</t>
  </si>
  <si>
    <t>086597</t>
  </si>
  <si>
    <t>Plaque identification 70 x 20 mm train fixe équipé - DIPRO 3x</t>
  </si>
  <si>
    <t>086508</t>
  </si>
  <si>
    <t>Etiquette Made in France D3X</t>
  </si>
  <si>
    <t>086464</t>
  </si>
  <si>
    <t>Etiquette Train pli Mâle</t>
  </si>
  <si>
    <t>086471</t>
  </si>
  <si>
    <t>Etiquette Train pli Femelle</t>
  </si>
  <si>
    <t>086676</t>
  </si>
  <si>
    <t>Plaque identification Voltage Kit electrique équipé 230 v- DIPRO 3x</t>
  </si>
  <si>
    <t>005937</t>
  </si>
  <si>
    <t>Vis CHC M8x25 ISO 4762 inox Classe A2</t>
  </si>
  <si>
    <t>912A2-8X25</t>
  </si>
  <si>
    <t>005932</t>
  </si>
  <si>
    <t>Vis CHC M8x30 ISO 4762 inox Classe A2</t>
  </si>
  <si>
    <t>005947</t>
  </si>
  <si>
    <t>Goupille Cylindrique type A 10x28 ISO 2338 INOX A1</t>
  </si>
  <si>
    <t>GOUPLISA1-10X28</t>
  </si>
  <si>
    <t>005970</t>
  </si>
  <si>
    <t>Clavette parallèle forme A 6x6x30 DIN 6885A BRUT</t>
  </si>
  <si>
    <t>005941</t>
  </si>
  <si>
    <t>Pin – GOUPILLE LISSE DIN 7 ISO 2338 INOX A1 8X30</t>
  </si>
  <si>
    <t>GOUPLISA1-8X30</t>
  </si>
  <si>
    <t>005931</t>
  </si>
  <si>
    <t>Vis FHC M6x45 ISO 10642 inox Classe A2</t>
  </si>
  <si>
    <t>005969</t>
  </si>
  <si>
    <t>Clavette parallèle forme A 6x6x50 DIN 6885A BRUT</t>
  </si>
  <si>
    <t>005973</t>
  </si>
  <si>
    <t>Clavette parallèle forme A 6x6x60 DIN 6885A BRUT</t>
  </si>
  <si>
    <t>005968</t>
  </si>
  <si>
    <t>Clavette parallèle forme A 6x6x40 DIN 6885A BRUT</t>
  </si>
  <si>
    <t>005967</t>
  </si>
  <si>
    <t>Clavette parallèle forme A 6x6x45 DIN 6885A BRUT</t>
  </si>
  <si>
    <t>NORELEM</t>
  </si>
  <si>
    <t>005966</t>
  </si>
  <si>
    <t>Clavette parallèle forme A 6x6x28 DIN 6885A BRUT</t>
  </si>
  <si>
    <t>005971</t>
  </si>
  <si>
    <t>Clavette parallèle forme A 6x6x36 DIN 6885A BRUT</t>
  </si>
  <si>
    <t>005939</t>
  </si>
  <si>
    <t>RONDELLE GROWER Inox A2 - A2 stainless steel washer GROWER W6</t>
  </si>
  <si>
    <t>127A1-6</t>
  </si>
  <si>
    <t>005957</t>
  </si>
  <si>
    <t>Vis FHC M8x25 ISO 10642 INOX A2</t>
  </si>
  <si>
    <t>7991A2-8X25</t>
  </si>
  <si>
    <t>005974</t>
  </si>
  <si>
    <t>Clavette parallèle forme A 6x6x56 DIN 6885A BRUT</t>
  </si>
  <si>
    <t>005945</t>
  </si>
  <si>
    <t>Clavette parallèle forme A 8X7X18 DIN 6885A BRUT</t>
  </si>
  <si>
    <t>CLAVETBR8X7X18</t>
  </si>
  <si>
    <t>005930</t>
  </si>
  <si>
    <t>Vis FHC M5x12 ISO 10642 inox Classe A2</t>
  </si>
  <si>
    <t>005972</t>
  </si>
  <si>
    <t>Clavette parallèle forme A 6x6x63 DIN 6885A BRUT</t>
  </si>
  <si>
    <t>005960</t>
  </si>
  <si>
    <t>Ecrou Autofreiné Bas M8 DIN 985 INOX A2</t>
  </si>
  <si>
    <t>985A2M8</t>
  </si>
  <si>
    <t>005944</t>
  </si>
  <si>
    <t>Circlips extérieur 30X1,5 DIN471 BRUT</t>
  </si>
  <si>
    <t>471EXTBR-30X1.5/100</t>
  </si>
  <si>
    <t>005950</t>
  </si>
  <si>
    <t>Vis CHC M6x20 ISO 4762 INOX A2</t>
  </si>
  <si>
    <t>912A2-6X20</t>
  </si>
  <si>
    <t>005949</t>
  </si>
  <si>
    <t>Rondelle M 10-N NFE 25513 INOX A2</t>
  </si>
  <si>
    <t>RONDA2M10</t>
  </si>
  <si>
    <t>005946</t>
  </si>
  <si>
    <t>Rondelle M 16-N NFE 25513 INOX A2</t>
  </si>
  <si>
    <t>RONDA2M16</t>
  </si>
  <si>
    <t>005959</t>
  </si>
  <si>
    <t>VIS STHC M8X50 DIN 913 ISO 4026 BOUT PLAT INOX A2</t>
  </si>
  <si>
    <t>913A2-8X50</t>
  </si>
  <si>
    <t>005955</t>
  </si>
  <si>
    <t>Vis CHC M4x25 ISO 4762 INOX A2</t>
  </si>
  <si>
    <t>912A2-4X25</t>
  </si>
  <si>
    <t>005938</t>
  </si>
  <si>
    <t>Rondelle de Calage 9X15X1 DIN 988 acier brut</t>
  </si>
  <si>
    <t>00551</t>
  </si>
  <si>
    <t>pastille adhésives en tissu Ø30 argent</t>
  </si>
  <si>
    <t>SPRINTIS</t>
  </si>
  <si>
    <t>KPXX000185</t>
  </si>
  <si>
    <t>005958</t>
  </si>
  <si>
    <t>Rondelle M 8-N NFE 25513 INOX A2</t>
  </si>
  <si>
    <t>RONDA2M8</t>
  </si>
  <si>
    <t>005952</t>
  </si>
  <si>
    <t>Vis CHC M6x16 ISO 4762 INOX A2</t>
  </si>
  <si>
    <t>912A2-6X16</t>
  </si>
  <si>
    <t>005953</t>
  </si>
  <si>
    <t>Rondelle M 6-N NFE 25513 INOX A2</t>
  </si>
  <si>
    <t>RONDA2M6</t>
  </si>
  <si>
    <t>005954</t>
  </si>
  <si>
    <t>Ecrou Autofreiné Bas M4 DIN 985 INOX A2</t>
  </si>
  <si>
    <t>985A2M4</t>
  </si>
  <si>
    <t>005942</t>
  </si>
  <si>
    <t>Ecrou Bas M6 inox A2 - DIN439</t>
  </si>
  <si>
    <t xml:space="preserve">934A2M6 </t>
  </si>
  <si>
    <t>005956</t>
  </si>
  <si>
    <t>Rondelle L 4-N NFE 25513 INOX A2</t>
  </si>
  <si>
    <t>RONDA2L4</t>
  </si>
  <si>
    <t>086576</t>
  </si>
  <si>
    <t>Coupe Transversale - DIPRO 3x HA</t>
  </si>
  <si>
    <t>Coupe</t>
  </si>
  <si>
    <t>30L - 28D</t>
  </si>
  <si>
    <t>NA</t>
  </si>
  <si>
    <t>086945</t>
  </si>
  <si>
    <t>Mobilité - DIPRO 3x HA</t>
  </si>
  <si>
    <t>Mobilité</t>
  </si>
  <si>
    <t>MOTEUR 110V/60HZ 6M 90S4 1.1KW P4 B14 TS - Dipro D3x</t>
  </si>
  <si>
    <t>1Q0901T20ATS</t>
  </si>
  <si>
    <t>2L - 32D</t>
  </si>
  <si>
    <t>086821</t>
  </si>
  <si>
    <r>
      <t>Codeur avec sortie droite 360 points - D3x</t>
    </r>
    <r>
      <rPr>
        <sz val="11"/>
        <color rgb="FFFF0000"/>
        <rFont val="Calibri"/>
        <family val="2"/>
        <scheme val="minor"/>
      </rPr>
      <t xml:space="preserve"> </t>
    </r>
    <r>
      <rPr>
        <sz val="11"/>
        <color theme="5"/>
        <rFont val="Calibri"/>
        <family val="2"/>
        <scheme val="minor"/>
      </rPr>
      <t>ou 2000pts 086818</t>
    </r>
  </si>
  <si>
    <t>Codeur</t>
  </si>
  <si>
    <t>KUBLER</t>
  </si>
  <si>
    <t>8.KIS40.1341.0360</t>
  </si>
  <si>
    <t>A enlever car pas dans le périmètre</t>
  </si>
  <si>
    <t>086923-S01</t>
  </si>
  <si>
    <t>sous-traitance cablage codeur 360pts avec prise ECO-MATE</t>
  </si>
  <si>
    <t>sous-traitance</t>
  </si>
  <si>
    <t>086817</t>
  </si>
  <si>
    <t>Roue codeuse C200 L6.5 d06 PL lisse - D3x</t>
  </si>
  <si>
    <t>8.0000.3245.0006</t>
  </si>
  <si>
    <t>086889</t>
  </si>
  <si>
    <t>Cartérisation codeur - D3x</t>
  </si>
  <si>
    <t>COMO</t>
  </si>
  <si>
    <t>086886</t>
  </si>
  <si>
    <t>Support codeur - D3x</t>
  </si>
  <si>
    <t>usinage</t>
  </si>
  <si>
    <t>086819</t>
  </si>
  <si>
    <t>Doigt d'indexage bride horizontale</t>
  </si>
  <si>
    <t>22110.0348</t>
  </si>
  <si>
    <t>Prise 110v - FICHE MOB.IP44 2P+T 16A 110V</t>
  </si>
  <si>
    <t>60001H</t>
  </si>
  <si>
    <t>086900</t>
  </si>
  <si>
    <t>vis épaulé M5-6x50 inox A2 ISO7379</t>
  </si>
  <si>
    <t>7379-6-M5-50-NI</t>
  </si>
  <si>
    <t>Support prise 110v - Collier 2S ez epdm M8/10 38-46</t>
  </si>
  <si>
    <t>086883</t>
  </si>
  <si>
    <t>Entretoise Acier  Ø int. 5 / Ø ext. 6.5 / L 3.2 mm</t>
  </si>
  <si>
    <t>086578</t>
  </si>
  <si>
    <t>Plaque identification 70 x 20 mm coupe - DIPRO 3x</t>
  </si>
  <si>
    <t>086884</t>
  </si>
  <si>
    <t>Plaque identification 70 x 20 mm Ensemble Codeur - DIPRO 3x</t>
  </si>
  <si>
    <t>086949</t>
  </si>
  <si>
    <t>Plaque identification 70 x 20 mm mobilité - DIPRO 3x</t>
  </si>
  <si>
    <t>086679</t>
  </si>
  <si>
    <t>Plaque identification 70 x 20 mm n° Série Kit elec 110 v - DIPRO 3x</t>
  </si>
  <si>
    <t>086678</t>
  </si>
  <si>
    <t>Plaque identification Voltage Kit electrique équipé 110 v- DIPRO 3x</t>
  </si>
  <si>
    <t>086820</t>
  </si>
  <si>
    <t>Ressort de compression  Øext : 8,7 Nb spires:4,6 - D3x</t>
  </si>
  <si>
    <t>WM8-20</t>
  </si>
  <si>
    <t>086902</t>
  </si>
  <si>
    <t>vis BHC M5x16 inox A2</t>
  </si>
  <si>
    <t>7380A2-5X16</t>
  </si>
  <si>
    <t>086901</t>
  </si>
  <si>
    <t>Vis FHC M3x10 ISO 10642 inox Classe A2</t>
  </si>
  <si>
    <t>7991A2-3X10</t>
  </si>
  <si>
    <t>086903</t>
  </si>
  <si>
    <t>Ecrou Frein Bas M5 - DIN 985 Inox A2</t>
  </si>
  <si>
    <t>985A2M5</t>
  </si>
  <si>
    <t>Notice de montage Mobilité</t>
  </si>
  <si>
    <t>Remarque sur conception JOUANEL  / Prix JOUANEL :</t>
  </si>
  <si>
    <t>total :</t>
  </si>
  <si>
    <t>Galets / train</t>
  </si>
  <si>
    <t>- Train commun sur au moins 3 machines (autour de 80 - 100 machines par an)</t>
  </si>
  <si>
    <t>- JOUANEL vend en direct avec marge plus importante</t>
  </si>
  <si>
    <t>- La machine JOUANEL est vendue depuis au moins 2016</t>
  </si>
  <si>
    <t>Point 21/03/25</t>
  </si>
  <si>
    <t>Point 28/03/25</t>
  </si>
  <si>
    <t>Point 07/04/25</t>
  </si>
  <si>
    <t>Point 11/04/25</t>
  </si>
  <si>
    <t>Point 25/04/25</t>
  </si>
  <si>
    <t>Point 20/05/25</t>
  </si>
  <si>
    <t>Valeur initiale</t>
  </si>
  <si>
    <t>Gains</t>
  </si>
  <si>
    <t>Objectif semaine prochaine</t>
  </si>
  <si>
    <t>Alig.</t>
  </si>
  <si>
    <t>Cost Kil.</t>
  </si>
  <si>
    <t>Remarques réunion</t>
  </si>
  <si>
    <t>Modifications technique</t>
  </si>
  <si>
    <t>Visible pour l'utlisateur</t>
  </si>
  <si>
    <t>Commentaires</t>
  </si>
  <si>
    <t>Cost kill.</t>
  </si>
  <si>
    <t>gain finalisé Alice et Simon</t>
  </si>
  <si>
    <t>Cost kil</t>
  </si>
  <si>
    <t>Train fixe + mobile</t>
  </si>
  <si>
    <t>Gain / Fonction</t>
  </si>
  <si>
    <t>Coût Fonction</t>
  </si>
  <si>
    <t>avaloir</t>
  </si>
  <si>
    <t>Copie Jouanel (production ROBIN)</t>
  </si>
  <si>
    <t>Suppression Profiling OFF + CTL
Suppression de la liaison pivot
Suppression du réglage (réglage visuel)</t>
  </si>
  <si>
    <t>Oui (technique)</t>
  </si>
  <si>
    <t>Visible pour l'utilisateur car suppression des fonctions
Moins facile à mettre en place car démontable
Doit être réglé visuellement, moins précis mais suffisant pour la tôlérance (Idem Schlebach)</t>
  </si>
  <si>
    <t>Demande de prix en cours avec SIMETAL</t>
  </si>
  <si>
    <t>Ski latéral</t>
  </si>
  <si>
    <t>Copie Schlebach (production ACI)</t>
  </si>
  <si>
    <t>Passage en tôle Inox</t>
  </si>
  <si>
    <t>Optimisation des performance (risque de léger marquages sous le bac à vérifier idem Schlebach)</t>
  </si>
  <si>
    <t>Carter</t>
  </si>
  <si>
    <t>Copie Jouanel / Schlebach</t>
  </si>
  <si>
    <t>Changement de design, carré, sans nervure
Suppression de bande profilage Mâle-Mâle</t>
  </si>
  <si>
    <t>Impact sur de design de la machine + perte du guidage profil sur la deuxième passe</t>
  </si>
  <si>
    <t>Galet d'entrainement</t>
  </si>
  <si>
    <t>Galet d'entrainment standard + diminuer nombre de galet (idem Schlebach  ►5)</t>
  </si>
  <si>
    <t>Pousser la piste du galet standard</t>
  </si>
  <si>
    <t>Diminuer nombre de galet (idem Schlebach  ►5)</t>
  </si>
  <si>
    <t>Pousser la piste du galet standard ACLA</t>
  </si>
  <si>
    <t>Diminution nombre de galet : 5 galet sur mesure ASM2</t>
  </si>
  <si>
    <r>
      <rPr>
        <sz val="11"/>
        <color rgb="FF000000"/>
        <rFont val="Calibri"/>
        <scheme val="minor"/>
      </rPr>
      <t xml:space="preserve">Pousser la piste du galet standard ACLA
</t>
    </r>
    <r>
      <rPr>
        <b/>
        <sz val="11"/>
        <color rgb="FF000000"/>
        <rFont val="Calibri"/>
        <scheme val="minor"/>
      </rPr>
      <t>Attente référence</t>
    </r>
  </si>
  <si>
    <t>Diminution nombre de galet : 5 galet sur mesure ASM2 
Gain de 126€, mais élargissement galet inf et pignon suplémentaire sup?</t>
  </si>
  <si>
    <t>Station de galet</t>
  </si>
  <si>
    <t>- Intégration de la galette alu avec le galet
- Plus de post oxydation sur galet
- Entretoise decoupe tube
- Axe en C35 (tolérance sur certaine zone)</t>
  </si>
  <si>
    <t>Non</t>
  </si>
  <si>
    <t xml:space="preserve">Invisible pour l'utilisateur
Visible à long terme car risque d'oxydation (mais seulement au démontage des carters)
Invisible pour l'utilisateur
Invisible pour l'utilsateur
</t>
  </si>
  <si>
    <t>Attente dessin + consulation galet
Intégrer la galette caoutchouc standard au galet formeur</t>
  </si>
  <si>
    <t>Mettre prix axe + entretoise (enchères inversés)</t>
  </si>
  <si>
    <t>- Modification profils des galets type JOUANEL
- afiner cout des entretoises "supplémentaires"</t>
  </si>
  <si>
    <t>passage en axe standard réalisé en décolletage + ajout d'entretoise</t>
  </si>
  <si>
    <t>Pignon + roulement</t>
  </si>
  <si>
    <t>Travail en cours (Numec / enchère inversé / Prud'homme / HPC)</t>
  </si>
  <si>
    <t>Changement de matière, module (pignon standard)</t>
  </si>
  <si>
    <t>Invisible pour l'utilisateur</t>
  </si>
  <si>
    <t>Devis HPC (28 x 7)
Travail sur coussinets à la place des roulements</t>
  </si>
  <si>
    <t>Pignons standards et similaires</t>
  </si>
  <si>
    <t>Travail sur coussinets à la place des roulements</t>
  </si>
  <si>
    <t>Travail sur coussinets à la place des roulements
Réajutement du gain du 28/03
Surcout (coussinets plus chers que roulements)
Clavetage plus cher que alésage roulement</t>
  </si>
  <si>
    <t>Chassis</t>
  </si>
  <si>
    <t>Point à faire avec le fournisseur</t>
  </si>
  <si>
    <t>Suppression d'une tôle usiné pour la mettre en découpe laser / ou châssis en tôles</t>
  </si>
  <si>
    <t xml:space="preserve">Invisible pour l'utilisateur (toujour en cours d'optimisation / passage en tôles ?)
</t>
  </si>
  <si>
    <t>chassis tôle
clarifier les gains (fonction totale)</t>
  </si>
  <si>
    <t>Suppression d'une tôle usiné pour la mettre en découpe laser</t>
  </si>
  <si>
    <t>chassis tôle -&gt; Améliorer calepinage
clarifier les gains (fonction totale)</t>
  </si>
  <si>
    <t>inclus dans le comparatif avec la translation</t>
  </si>
  <si>
    <t>Chiffrage DIMOS v Jouanel. Travail à faire avec design Schlebach</t>
  </si>
  <si>
    <t>Passage sur des coussinets au lieu des roulements (peut-être même un rail commerce sur châssis ► en cours)</t>
  </si>
  <si>
    <t>Translation moins fluide mais fonctionnelle</t>
  </si>
  <si>
    <t>Transmission de puissance</t>
  </si>
  <si>
    <t>Chiffrage DIMOS v JOUANEL</t>
  </si>
  <si>
    <t>Suppression modularité</t>
  </si>
  <si>
    <t>Suppression de la modularité (Pas possible d'enlever le moteur sans outil)</t>
  </si>
  <si>
    <t>Ensemble moteur</t>
  </si>
  <si>
    <t>Suppression toles + poignée. Attente retour fournisseur de moteur (mini 500€)</t>
  </si>
  <si>
    <t>Suppression CTL et options futures (Bouton Marche / Arrière / Stop sur coffret moteur)</t>
  </si>
  <si>
    <t>Suppression programmes pour futurs options (simple bouton marche avant / arrière sur le coffret moteur)</t>
  </si>
  <si>
    <t>Attente retours motoristes</t>
  </si>
  <si>
    <t>ensemble MotoRéducteur + solution de commande Bonfiglioli</t>
  </si>
  <si>
    <t>Pas de travail car déjà très simple</t>
  </si>
  <si>
    <t>/</t>
  </si>
  <si>
    <t>Gain cumulé</t>
  </si>
  <si>
    <t>XXXX</t>
  </si>
  <si>
    <t>Toujours en cours d'optimisation</t>
  </si>
  <si>
    <t>Optimisé</t>
  </si>
  <si>
    <t>Numéro de semaine</t>
  </si>
  <si>
    <t>Gains cumulés</t>
  </si>
  <si>
    <t>Objectif gains cumulés semaine</t>
  </si>
  <si>
    <t>Objectif total</t>
  </si>
  <si>
    <t>Gains obtenables au prochain réappro</t>
  </si>
  <si>
    <t>objectif prix de reviens</t>
  </si>
  <si>
    <t>Comparatif Trains Dimos vs JOUANEL</t>
  </si>
  <si>
    <t>DIMOS</t>
  </si>
  <si>
    <t>JOUANEL</t>
  </si>
  <si>
    <t>Remarques</t>
  </si>
  <si>
    <t>Axes</t>
  </si>
  <si>
    <t>Différents</t>
  </si>
  <si>
    <t>Axe jouanel std / Axe Dimos spécifique</t>
  </si>
  <si>
    <t>Total</t>
  </si>
  <si>
    <t>Blocs</t>
  </si>
  <si>
    <t>Carters</t>
  </si>
  <si>
    <t>Carter Jouanel très simple / Carter DIMOS plus design avec renfort + pièce en PEHD</t>
  </si>
  <si>
    <t>Entretoises</t>
  </si>
  <si>
    <t>Plus de galet pour DIMOS (certain réalisé en 2 fois (prise tour)) + acier et alu / moins de galet pour JOUANEL seulement acier</t>
  </si>
  <si>
    <t>Galettes (Caoutchouc)</t>
  </si>
  <si>
    <t>DIMOS module 3 + spécifique (assez cher, voir onglet pignon) / Jouanel module 2 certainement standard</t>
  </si>
  <si>
    <t>Semaine</t>
  </si>
  <si>
    <t>Objectif</t>
  </si>
  <si>
    <t>PR Objectif</t>
  </si>
  <si>
    <t>Objectif semaine</t>
  </si>
  <si>
    <t>Gain réalisé</t>
  </si>
  <si>
    <t>Gain réalisé cumulé</t>
  </si>
  <si>
    <t>PR obtenu</t>
  </si>
  <si>
    <t>PR alignement</t>
  </si>
  <si>
    <t>PR Cost killing</t>
  </si>
  <si>
    <t>Gain alignement</t>
  </si>
  <si>
    <t>Cost killing</t>
  </si>
  <si>
    <t>iô:</t>
  </si>
  <si>
    <t>BASE DU CHASSIS</t>
  </si>
  <si>
    <t>AMELIORATION DIMOS</t>
  </si>
  <si>
    <t>référence</t>
  </si>
  <si>
    <t>désignation</t>
  </si>
  <si>
    <t>qté/machine</t>
  </si>
  <si>
    <t>nom du fournisseur</t>
  </si>
  <si>
    <t>PU</t>
  </si>
  <si>
    <t>PU TOT/machine</t>
  </si>
  <si>
    <t>numéro de plan</t>
  </si>
  <si>
    <t>indice de plan</t>
  </si>
  <si>
    <t xml:space="preserve"> Ensemble chassis tole soudée V3 - Acier peint Ral 9005 30%</t>
  </si>
  <si>
    <t>086566</t>
  </si>
  <si>
    <t>B</t>
  </si>
  <si>
    <t>086619</t>
  </si>
  <si>
    <t>Support axe</t>
  </si>
  <si>
    <t>PU TOTAL POUR UN LANCEMENT DE 20 MACHINES</t>
  </si>
  <si>
    <t>SAVING</t>
  </si>
  <si>
    <t xml:space="preserve">RFQ Etude DJS </t>
  </si>
  <si>
    <t>consultation pour l'équivalent 20 et 50 machines</t>
  </si>
  <si>
    <t>AVALOIR</t>
  </si>
  <si>
    <t>CONCURRENCE</t>
  </si>
  <si>
    <t>Offre Simetal</t>
  </si>
  <si>
    <t>PEHD Blanc Avaloir J</t>
  </si>
  <si>
    <t>J0006</t>
  </si>
  <si>
    <t>A</t>
  </si>
  <si>
    <t>PEHD vert avaloir J</t>
  </si>
  <si>
    <t>J0005</t>
  </si>
  <si>
    <t>Protection roulement avaloir J</t>
  </si>
  <si>
    <t>J0007</t>
  </si>
  <si>
    <t>Support aluminium Avaloir J</t>
  </si>
  <si>
    <t>J0010</t>
  </si>
  <si>
    <t>Support roulement avaloir J</t>
  </si>
  <si>
    <t>J0009</t>
  </si>
  <si>
    <t>roulement acier 6200-RS</t>
  </si>
  <si>
    <t>SKI LATERAL</t>
  </si>
  <si>
    <t>Equerre ski latéral D3S</t>
  </si>
  <si>
    <t>086527-00001</t>
  </si>
  <si>
    <t>CARTER</t>
  </si>
  <si>
    <t>Tole supérieur train D3S</t>
  </si>
  <si>
    <t>086xxx</t>
  </si>
  <si>
    <t>Carter inf Train D3S</t>
  </si>
  <si>
    <t>086649_10xxxx</t>
  </si>
  <si>
    <t>GALET ALU</t>
  </si>
  <si>
    <t>086456_00001</t>
  </si>
  <si>
    <t>C</t>
  </si>
  <si>
    <t>J00012</t>
  </si>
  <si>
    <t>086447_00011</t>
  </si>
  <si>
    <t>Comparatif Train fixe Dimos vs JOUANEL</t>
  </si>
  <si>
    <t>Historique baisse de prix (qt série)</t>
  </si>
  <si>
    <t>Design modifié intégralement (prix par 10)</t>
  </si>
  <si>
    <t>Design modifié intégralement (prix par 20)</t>
  </si>
  <si>
    <t>Design modifié intégralement (prix par 100)</t>
  </si>
  <si>
    <t>Galet</t>
  </si>
  <si>
    <t>Solutions</t>
  </si>
  <si>
    <t>086476_00001</t>
  </si>
  <si>
    <t>/train mob</t>
  </si>
  <si>
    <t>unitaire</t>
  </si>
  <si>
    <t>Attente réponse</t>
  </si>
  <si>
    <t xml:space="preserve">J0301_A </t>
  </si>
  <si>
    <t>Galet fix sup A-1 - J</t>
  </si>
  <si>
    <t>086477_00001</t>
  </si>
  <si>
    <t>J0303_A</t>
  </si>
  <si>
    <t>Galet fix sup B-1 - J</t>
  </si>
  <si>
    <t>086478_00001</t>
  </si>
  <si>
    <t>J0305_A</t>
  </si>
  <si>
    <t>Galet fix sup C-1 - J</t>
  </si>
  <si>
    <t>086479_00001</t>
  </si>
  <si>
    <t xml:space="preserve">J0307_A </t>
  </si>
  <si>
    <t>Galet fix sup D-1 - J</t>
  </si>
  <si>
    <t>086480_00001</t>
  </si>
  <si>
    <t>J0309_A</t>
  </si>
  <si>
    <t>Galet fix sup E-1 - J</t>
  </si>
  <si>
    <t>086481_00001</t>
  </si>
  <si>
    <t xml:space="preserve">J0311_A </t>
  </si>
  <si>
    <t>Galet fix sup F-1 - J</t>
  </si>
  <si>
    <t>086482_00001</t>
  </si>
  <si>
    <t>J0313_A</t>
  </si>
  <si>
    <t>Galet fix sup G-1 - J</t>
  </si>
  <si>
    <t>086483_00001</t>
  </si>
  <si>
    <t>J0401_A</t>
  </si>
  <si>
    <t>Galet fix inf A J</t>
  </si>
  <si>
    <t>086440_00006</t>
  </si>
  <si>
    <t>J0402_A</t>
  </si>
  <si>
    <t>Galet fix inf B J</t>
  </si>
  <si>
    <t>086485_00001</t>
  </si>
  <si>
    <t xml:space="preserve">J0403_A </t>
  </si>
  <si>
    <t>Galet fix inf C J</t>
  </si>
  <si>
    <t>086441_00004</t>
  </si>
  <si>
    <t>J0404_A</t>
  </si>
  <si>
    <t>Galet fix inf D J</t>
  </si>
  <si>
    <t>086488_00001</t>
  </si>
  <si>
    <t>J0405_A</t>
  </si>
  <si>
    <t>Galet fix inf E J</t>
  </si>
  <si>
    <t>086489_00001</t>
  </si>
  <si>
    <t>J0406_A</t>
  </si>
  <si>
    <t>Galet fix inf F J</t>
  </si>
  <si>
    <t>086490_00001</t>
  </si>
  <si>
    <t>J0407_A</t>
  </si>
  <si>
    <t>Galet fix inf G J</t>
  </si>
  <si>
    <t>086491_00001</t>
  </si>
  <si>
    <t>086492_00001</t>
  </si>
  <si>
    <t>086493_00001</t>
  </si>
  <si>
    <t>Galet fix sup E</t>
  </si>
  <si>
    <t>086494_00001</t>
  </si>
  <si>
    <t>086495_00001</t>
  </si>
  <si>
    <t>086496_00001</t>
  </si>
  <si>
    <t>086497_00001</t>
  </si>
  <si>
    <t>086447_00010</t>
  </si>
  <si>
    <t>A étudier</t>
  </si>
  <si>
    <t>Galet entrainement std</t>
  </si>
  <si>
    <t>Pignon</t>
  </si>
  <si>
    <t>Pignon 20 dents galet</t>
  </si>
  <si>
    <t>Pignon 20 dents transmission</t>
  </si>
  <si>
    <t>Coussinet</t>
  </si>
  <si>
    <t>086451_00001</t>
  </si>
  <si>
    <t>900000_C0141</t>
  </si>
  <si>
    <t>Roulement a billes Øint 15 - Øext 32 - 2 joints - acier</t>
  </si>
  <si>
    <t>Support galet</t>
  </si>
  <si>
    <t>086447_00001</t>
  </si>
  <si>
    <t>Axe galet entrainé</t>
  </si>
  <si>
    <t>086447_00004</t>
  </si>
  <si>
    <t>086447_00005</t>
  </si>
  <si>
    <t>086447_00006</t>
  </si>
  <si>
    <t>086447_00007</t>
  </si>
  <si>
    <t>086447_00008</t>
  </si>
  <si>
    <t>086447_00009</t>
  </si>
  <si>
    <t>086536_00001</t>
  </si>
  <si>
    <t>086450_00001</t>
  </si>
  <si>
    <t>900000_C0108</t>
  </si>
  <si>
    <t>Roulement a billes Øint 20 - Øext 42 - 2 joints - acier</t>
  </si>
  <si>
    <t>086448_00001</t>
  </si>
  <si>
    <t>Axe galet libre</t>
  </si>
  <si>
    <t>086448_00002</t>
  </si>
  <si>
    <t>086448_00003</t>
  </si>
  <si>
    <t>086448_00004</t>
  </si>
  <si>
    <t>086448_00005</t>
  </si>
  <si>
    <t>086448_00006</t>
  </si>
  <si>
    <t>086411_00008</t>
  </si>
  <si>
    <t>Entretoise fix sup F3</t>
  </si>
  <si>
    <t>086411_00009</t>
  </si>
  <si>
    <t>086411_00010</t>
  </si>
  <si>
    <t>086411_00011</t>
  </si>
  <si>
    <t>086411_00013</t>
  </si>
  <si>
    <t>086411_00014</t>
  </si>
  <si>
    <t>086411_00015</t>
  </si>
  <si>
    <t>086411_00016</t>
  </si>
  <si>
    <t>086411_00017</t>
  </si>
  <si>
    <t>086411_00018</t>
  </si>
  <si>
    <t>086411_00019</t>
  </si>
  <si>
    <t>086411_00020</t>
  </si>
  <si>
    <t>Roulement a billes Øint 20 - Øext 32 - 2 joints - acier</t>
  </si>
  <si>
    <t>900000_C0006</t>
  </si>
  <si>
    <t>Pion de verrouillage</t>
  </si>
  <si>
    <t>Possibilité axe décoltage (à étudier)</t>
  </si>
  <si>
    <t>Bloc Alu</t>
  </si>
  <si>
    <t>Tole bridage - pied</t>
  </si>
  <si>
    <t>Plaque appuis porte galet</t>
  </si>
  <si>
    <t>900000_C0121</t>
  </si>
  <si>
    <t>Poignée nylon UPCN28-B-71</t>
  </si>
  <si>
    <t>086414_00001</t>
  </si>
  <si>
    <t>Cale porte galet</t>
  </si>
  <si>
    <t>Entretoise bridage</t>
  </si>
  <si>
    <t>Porte galet fixe sup</t>
  </si>
  <si>
    <t>Porte galet inf F&amp;M</t>
  </si>
  <si>
    <t>900000_C0023</t>
  </si>
  <si>
    <t>Tole supérieur train mobile</t>
  </si>
  <si>
    <t>Carter inf Underlap mobile</t>
  </si>
  <si>
    <t>Tole arrière</t>
  </si>
  <si>
    <t>086401_0001</t>
  </si>
  <si>
    <t>Bande lateral PEHD</t>
  </si>
  <si>
    <t>086882</t>
  </si>
  <si>
    <t>Revetement avaloir supérieur arrière</t>
  </si>
  <si>
    <t>Autres</t>
  </si>
  <si>
    <t>Prix par 10</t>
  </si>
  <si>
    <t>Prix par 100</t>
  </si>
  <si>
    <t>Historique baisse de prix</t>
  </si>
  <si>
    <t>Design partiellement modifié (reste train du bas à faire) (Offre Netsource)</t>
  </si>
  <si>
    <t>Prix par 20</t>
  </si>
  <si>
    <t>086452_00001</t>
  </si>
  <si>
    <t>/train fix</t>
  </si>
  <si>
    <t>J0501_A</t>
  </si>
  <si>
    <t>Galet mob inf A - J</t>
  </si>
  <si>
    <t>086453_00001</t>
  </si>
  <si>
    <t>J0502_A</t>
  </si>
  <si>
    <t>Galet mob inf B - J</t>
  </si>
  <si>
    <t>086454_00001</t>
  </si>
  <si>
    <t xml:space="preserve">J0503_A </t>
  </si>
  <si>
    <t>Galet mob inf C - J</t>
  </si>
  <si>
    <t>086455_00001</t>
  </si>
  <si>
    <t xml:space="preserve">J0504_A </t>
  </si>
  <si>
    <t>Galet mob inf D - J</t>
  </si>
  <si>
    <t>J0505_A</t>
  </si>
  <si>
    <t>Galet mob inf E - J</t>
  </si>
  <si>
    <t>086457_00001</t>
  </si>
  <si>
    <t>J0506_A</t>
  </si>
  <si>
    <t>Galet mob inf F - J</t>
  </si>
  <si>
    <t>086458_00001</t>
  </si>
  <si>
    <t>J0507_A</t>
  </si>
  <si>
    <t>Galet mob inf G - J</t>
  </si>
  <si>
    <t>086459_00001</t>
  </si>
  <si>
    <t>J0601_A</t>
  </si>
  <si>
    <t>Galet mob sup A - J</t>
  </si>
  <si>
    <t>086462_00001</t>
  </si>
  <si>
    <t>J0602_A</t>
  </si>
  <si>
    <t>Galet mob sup B - 1 - J</t>
  </si>
  <si>
    <t>086465_00001</t>
  </si>
  <si>
    <t xml:space="preserve">J0603_A </t>
  </si>
  <si>
    <t>Galet mob sup C-D - J</t>
  </si>
  <si>
    <t>086469_00001</t>
  </si>
  <si>
    <t>Galet mob sup G - 1</t>
  </si>
  <si>
    <t>J0604_D</t>
  </si>
  <si>
    <t>Galet mob sup E - F - J</t>
  </si>
  <si>
    <t>086469_00005</t>
  </si>
  <si>
    <t>Galet Mâle Sup G Caoutchouc</t>
  </si>
  <si>
    <t>J0605_A</t>
  </si>
  <si>
    <t>Galet mob sup G - 1 - J</t>
  </si>
  <si>
    <t>J0606_A</t>
  </si>
  <si>
    <t>Galet mob sup G - J</t>
  </si>
  <si>
    <t>086447_00002</t>
  </si>
  <si>
    <t>086447_00003</t>
  </si>
  <si>
    <t>086447_00012</t>
  </si>
  <si>
    <t>086447_00014</t>
  </si>
  <si>
    <t>086447_00015</t>
  </si>
  <si>
    <t>086447_00016</t>
  </si>
  <si>
    <t>086459_00002</t>
  </si>
  <si>
    <t>086462_00002</t>
  </si>
  <si>
    <t>086465_00002</t>
  </si>
  <si>
    <t>086447_00013</t>
  </si>
  <si>
    <t>086465_00003</t>
  </si>
  <si>
    <t>Entretoise mob sup CD</t>
  </si>
  <si>
    <t>086462_00003</t>
  </si>
  <si>
    <t>Entretoise mob sup B</t>
  </si>
  <si>
    <t>086459_00005</t>
  </si>
  <si>
    <t>Entretoise mob sup A</t>
  </si>
  <si>
    <t>086474_00003</t>
  </si>
  <si>
    <t>Support Galet Incliné</t>
  </si>
  <si>
    <t>086459_00004</t>
  </si>
  <si>
    <t>Tole supérieur train fixe</t>
  </si>
  <si>
    <t>Tole inférieure train fixe</t>
  </si>
  <si>
    <t>086596_0001</t>
  </si>
  <si>
    <t>086561</t>
  </si>
  <si>
    <t>Pli réglable</t>
  </si>
  <si>
    <t>Comparatif ensemble moteur</t>
  </si>
  <si>
    <t>GAIN :</t>
  </si>
  <si>
    <t>Initial RR France</t>
  </si>
  <si>
    <t>Bonfiglioli</t>
  </si>
  <si>
    <t>Bonfiglioli
33tr/min 203 Nm 0,75kW</t>
  </si>
  <si>
    <t>Sermes</t>
  </si>
  <si>
    <t>Lenze</t>
  </si>
  <si>
    <t>NA à mettre sur le moteur</t>
  </si>
  <si>
    <t>moto-réducteur</t>
  </si>
  <si>
    <t>En cours de chiffrage</t>
  </si>
  <si>
    <t>boitier de commande</t>
  </si>
  <si>
    <t>Total de la solution</t>
  </si>
  <si>
    <t>A inclure dans le boitier de commande du moteur</t>
  </si>
  <si>
    <t>4 vis</t>
  </si>
  <si>
    <t>4 ecrous</t>
  </si>
  <si>
    <t>8 rondelles</t>
  </si>
  <si>
    <t>Comparatif Translation Dimos vs JOUANEL</t>
  </si>
  <si>
    <t>GAIN:</t>
  </si>
  <si>
    <t>DIMOS Dégradé (compromis avec solution Schlebach et Chassis Tube)</t>
  </si>
  <si>
    <t>DIMOS Dégradé (compromis avec solution Schlebach et Chassis Tôle)</t>
  </si>
  <si>
    <t>Guide</t>
  </si>
  <si>
    <t>/machine</t>
  </si>
  <si>
    <t>Rollon</t>
  </si>
  <si>
    <t>Rail</t>
  </si>
  <si>
    <t xml:space="preserve">Axe Ø30 F7 chromé sans usinage </t>
  </si>
  <si>
    <t>Glissière</t>
  </si>
  <si>
    <t>Rollon MRS20LW</t>
  </si>
  <si>
    <t xml:space="preserve">Mono rail </t>
  </si>
  <si>
    <t>GSM-303430</t>
  </si>
  <si>
    <t>Coussinets IGUS</t>
  </si>
  <si>
    <t>J0004</t>
  </si>
  <si>
    <t>Bridage translation</t>
  </si>
  <si>
    <t>D0001</t>
  </si>
  <si>
    <t>Palier alu</t>
  </si>
  <si>
    <t>Interface Train / Glissière</t>
  </si>
  <si>
    <t>086776</t>
  </si>
  <si>
    <t>Support palier mobile</t>
  </si>
  <si>
    <t>J0019</t>
  </si>
  <si>
    <t>Plaque support train mobile</t>
  </si>
  <si>
    <t>086403_00002</t>
  </si>
  <si>
    <t xml:space="preserve"> Plaque appuis</t>
  </si>
  <si>
    <t>J0017</t>
  </si>
  <si>
    <t>Support cimblot mobile</t>
  </si>
  <si>
    <t>J0018</t>
  </si>
  <si>
    <t>Support cimblot fixe</t>
  </si>
  <si>
    <t>086403_00003</t>
  </si>
  <si>
    <t>Cimblot droit</t>
  </si>
  <si>
    <t>J0020</t>
  </si>
  <si>
    <t>Cimblot</t>
  </si>
  <si>
    <t>CHASSIS</t>
  </si>
  <si>
    <t xml:space="preserve"> Ensemble chassis tole soudée V3 - Acier peint Ral 9005</t>
  </si>
  <si>
    <t>Comparatif Transmission Dimos vs JOUANEL</t>
  </si>
  <si>
    <t>Axe transmission</t>
  </si>
  <si>
    <t>J0013</t>
  </si>
  <si>
    <t>Arbre moteur J</t>
  </si>
  <si>
    <t>D0003</t>
  </si>
  <si>
    <t>Axe moteur</t>
  </si>
  <si>
    <t>Ensemble pignon fixe</t>
  </si>
  <si>
    <t>J0014</t>
  </si>
  <si>
    <t>Support fin arbre J</t>
  </si>
  <si>
    <t>PIGNON 40 DENTS MOTEUR</t>
  </si>
  <si>
    <t xml:space="preserve">Palier à semelle </t>
  </si>
  <si>
    <t>086777</t>
  </si>
  <si>
    <t>Cale palier moteur</t>
  </si>
  <si>
    <t>Ensemble pignon mobile</t>
  </si>
  <si>
    <t>J0015</t>
  </si>
  <si>
    <t>Support début arbre J</t>
  </si>
  <si>
    <t>J0016</t>
  </si>
  <si>
    <t>"Pignon" transmission J</t>
  </si>
  <si>
    <t>086643</t>
  </si>
  <si>
    <t>Adaptateur hexa cyl clav</t>
  </si>
  <si>
    <t>086566_00007</t>
  </si>
  <si>
    <t>Blocage rotation transmission</t>
  </si>
  <si>
    <t>086642</t>
  </si>
  <si>
    <t>Palier</t>
  </si>
  <si>
    <t>Piste d'amélioration : PIGNONS</t>
  </si>
  <si>
    <t>Décomposition des trains</t>
  </si>
  <si>
    <t>Dipro 3X</t>
  </si>
  <si>
    <t>JOUANEL - Probac-CPRO</t>
  </si>
  <si>
    <t>SCHLEBACH - Mini Light</t>
  </si>
  <si>
    <t>Dureté</t>
  </si>
  <si>
    <t>Matière</t>
  </si>
  <si>
    <t>Traitement</t>
  </si>
  <si>
    <t>Poids</t>
  </si>
  <si>
    <t>Dimensions</t>
  </si>
  <si>
    <t>Tolérances</t>
  </si>
  <si>
    <t>Nombre</t>
  </si>
  <si>
    <t>Usinage</t>
  </si>
  <si>
    <t>Dimension</t>
  </si>
  <si>
    <t>Bloc alu</t>
  </si>
  <si>
    <t xml:space="preserve">123 HB </t>
  </si>
  <si>
    <t>2017A</t>
  </si>
  <si>
    <t>NON</t>
  </si>
  <si>
    <t>longueur 840 Largeur58  Hauteur78</t>
  </si>
  <si>
    <t>2+2</t>
  </si>
  <si>
    <t>68 HB</t>
  </si>
  <si>
    <t>aluminium</t>
  </si>
  <si>
    <t>longueur 750 Largeur50  Hauteur80</t>
  </si>
  <si>
    <t>71 HB</t>
  </si>
  <si>
    <t>longueur 750 Largeur50  Hauteur79</t>
  </si>
  <si>
    <t>Galets MOB SUP A</t>
  </si>
  <si>
    <t>149 HB</t>
  </si>
  <si>
    <t>7075-T6</t>
  </si>
  <si>
    <t>Hard anodizing</t>
  </si>
  <si>
    <t>Ø 88,5</t>
  </si>
  <si>
    <t>M7 / ±0,05</t>
  </si>
  <si>
    <t>380 HB</t>
  </si>
  <si>
    <t>acier</t>
  </si>
  <si>
    <t>?</t>
  </si>
  <si>
    <t>Ø 78,2</t>
  </si>
  <si>
    <t>157 HB</t>
  </si>
  <si>
    <t>Ø78,8</t>
  </si>
  <si>
    <t>Galets FIXE SUP G</t>
  </si>
  <si>
    <t>333 HB</t>
  </si>
  <si>
    <t>42CrMo4</t>
  </si>
  <si>
    <t>Nitriding+Post-oxidation</t>
  </si>
  <si>
    <t>304 HB</t>
  </si>
  <si>
    <t>233 HB</t>
  </si>
  <si>
    <t xml:space="preserve">acier </t>
  </si>
  <si>
    <t>OUI</t>
  </si>
  <si>
    <t>Galets FIXE INF G</t>
  </si>
  <si>
    <t>Ø43,5</t>
  </si>
  <si>
    <t>Ø40</t>
  </si>
  <si>
    <t>GALETS ENTRAINEMENT</t>
  </si>
  <si>
    <t>47 HB</t>
  </si>
  <si>
    <t>2017A + caoutchouc</t>
  </si>
  <si>
    <t>82 HB</t>
  </si>
  <si>
    <t>aluminium + caoutchouc</t>
  </si>
  <si>
    <t>12 galettes identiques</t>
  </si>
  <si>
    <t>280 HB</t>
  </si>
  <si>
    <t>273g</t>
  </si>
  <si>
    <t>utileØ20 brutØ25 L115mm</t>
  </si>
  <si>
    <t>g6</t>
  </si>
  <si>
    <t>Tous usinés</t>
  </si>
  <si>
    <t>157HB</t>
  </si>
  <si>
    <t>244g</t>
  </si>
  <si>
    <t>utile Ø20  brutØ25  L 116,5mm</t>
  </si>
  <si>
    <t>Ebauche d'un BRUT
Portées localisées</t>
  </si>
  <si>
    <t>147 HB</t>
  </si>
  <si>
    <t>246g</t>
  </si>
  <si>
    <t>utile Ø20 brut Ø25  L116,5mm</t>
  </si>
  <si>
    <t>Entièrement ébauché
Portées localisées</t>
  </si>
  <si>
    <t>Alu</t>
  </si>
  <si>
    <t>Compris dans l'axe
Alu tout usiné</t>
  </si>
  <si>
    <t>electrozingage</t>
  </si>
  <si>
    <t>Pignons entrainement</t>
  </si>
  <si>
    <t>252 HB</t>
  </si>
  <si>
    <t>320g</t>
  </si>
  <si>
    <t>Ø 65,9 / Z20</t>
  </si>
  <si>
    <t>H7</t>
  </si>
  <si>
    <t>124 HB</t>
  </si>
  <si>
    <t>235 g</t>
  </si>
  <si>
    <t>Ø 57,4 / Z21</t>
  </si>
  <si>
    <t>Visserie</t>
  </si>
  <si>
    <t>Inox</t>
  </si>
  <si>
    <t>Acier zingué</t>
  </si>
  <si>
    <t> </t>
  </si>
  <si>
    <t>Galet alu</t>
  </si>
  <si>
    <t>Effort</t>
  </si>
  <si>
    <t>Gain</t>
  </si>
  <si>
    <t>Action</t>
  </si>
  <si>
    <t>Qui</t>
  </si>
  <si>
    <t>Roulement à l’intérieur des galets. A étudier. Voir si axe avec bague bronze</t>
  </si>
  <si>
    <t>turfu</t>
  </si>
  <si>
    <t>Dimos (alu 7075 + traitement) à voir pour les mettre en acier ?</t>
  </si>
  <si>
    <t>attente retour ASM2</t>
  </si>
  <si>
    <t>Alice</t>
  </si>
  <si>
    <t>Galet conique ne sont pas facile à maintenir sur tour. Il faut faire trou à l’intérieur pour ensuite les tenir pour faire la forme. La concurrence ne fait que cylindrique (bcp moins cher). Prise mini : 5mm.</t>
  </si>
  <si>
    <t>Jouanel / SCH</t>
  </si>
  <si>
    <t>Dessin + chiffrage ASM2</t>
  </si>
  <si>
    <t>Damien</t>
  </si>
  <si>
    <t>Pour certains de nos galets : fait en 3 parties (avec 3 clavetages). Prise cylindrique. On pourrait le faire en 1 fois au lieu de 3</t>
  </si>
  <si>
    <t>Dessin + chiffrage ASM3</t>
  </si>
  <si>
    <t>Remarque :</t>
  </si>
  <si>
    <t>1 galet alu 7075 avec traitement anodisation dur prix quasi identique à galet acier 42cd4 +oxyblack (nitruration + post oxydation).</t>
  </si>
  <si>
    <t>Faire analyse spectro + pignons</t>
  </si>
  <si>
    <t>Bodycote</t>
  </si>
  <si>
    <t>Question : faut-il  un traitement anticorrosion (post oxydation).</t>
  </si>
  <si>
    <t>Attention poids : ratio de 3 entre alu et acier.</t>
  </si>
  <si>
    <t>Prix post oxydation ?</t>
  </si>
  <si>
    <t>ASM2 fait demande de différence de prix entre oxyblack et nitruration (qt 100 sur 1 galet)</t>
  </si>
  <si>
    <t>Galet acier (DIMOS en 42Cd4)</t>
  </si>
  <si>
    <t>Quelle matière pour les galets Jouanel ?</t>
  </si>
  <si>
    <t>Nos galets avec traitement oxyblack (nitruration + post oxydation) / concurrence acier 42Cd4 (pré-traité) avec nitruration (augmente la dureté en surface). La concurrence n’a pas de traitement anti-corrosion</t>
  </si>
  <si>
    <t>Pour tous les galets :</t>
  </si>
  <si>
    <t>Optimiser la forme pour avoir</t>
  </si>
  <si>
    <t>Intégrer la galette au galet</t>
  </si>
  <si>
    <t>Dessin + chiffrage ASM2 (pour 1 galet)</t>
  </si>
  <si>
    <t>Soit un galet plus épais qui inclus la prise dans le tour</t>
  </si>
  <si>
    <t>DIMOS a trop de galets par rapport à la concurrence. Moins de clavetage. DIMOS a peut-être été trop loin dans la standardisation au détriment du nombre de galets.</t>
  </si>
  <si>
    <t>Question pour ASM2 :</t>
  </si>
  <si>
    <t>42cd4 avec nitruration quelle dureté + C35 + nitruration quelle qualité</t>
  </si>
  <si>
    <t>Attention : DIMOS a déjà vu des galets rouillés en Angleterre (mais pas changer)</t>
  </si>
  <si>
    <t>Galet avec caoutchouc :</t>
  </si>
  <si>
    <t>Notre solution avec petit galet est plus eco que la concurrence.</t>
  </si>
  <si>
    <t>Revoir le fournisseur pour la vulcanisation pour les choix techniques à utiliser (fournisseur BB fer)</t>
  </si>
  <si>
    <t>Le faire à froid au lieu de à chaud.</t>
  </si>
  <si>
    <t>A priori, la concurrence fait vulcanisation à chaud (finition propre)</t>
  </si>
  <si>
    <t>A priori, la vulcanisation à froid n’est pas adaptée à notre système (très dangereux pour la vie de la machine)</t>
  </si>
  <si>
    <t>Il faudrait quantifier l’adhérence nécessaire (moins de galet à caoutchouc). Avoir 1 seul galet entrainant mais plus gros ?? Cf Schlebach.</t>
  </si>
  <si>
    <t>Comparer les adhérences D3X Jouanel SCH</t>
  </si>
  <si>
    <t>Alex Gasch</t>
  </si>
  <si>
    <t>Axe :</t>
  </si>
  <si>
    <t>Dureté DIMOS trop importante par rapport à concurrence (certainement C35 sans traitement)</t>
  </si>
  <si>
    <t>Dessin + chiffrage</t>
  </si>
  <si>
    <t>Simon</t>
  </si>
  <si>
    <t>Tolérance g6 à ne mettre que sur les zones nécessaires</t>
  </si>
  <si>
    <t>Standardiser les axes et jouer sur les entretoises pour différencier (à étudier)</t>
  </si>
  <si>
    <t>NON : 100€ de diff après étude sur train femelle V1 vs V1.3 + 60€ de diff après étude sur train male V1 vs V1.3</t>
  </si>
  <si>
    <t>Entretoise alu 2017 (alu standard) (Dimos) moins cher que concurrence (acier zingué)</t>
  </si>
  <si>
    <t>Lecture plan :</t>
  </si>
  <si>
    <t>g6 coté pignon non nécessaire (g7 ou g8 bcp moins cher).</t>
  </si>
  <si>
    <t>g7</t>
  </si>
  <si>
    <t>g8</t>
  </si>
  <si>
    <t>g6 à ne faire que sur les portées.</t>
  </si>
  <si>
    <t>0,007 / 0,024 / 0,041</t>
  </si>
  <si>
    <t>0,007 / 0,028 / 0,049</t>
  </si>
  <si>
    <t>0,007 / 0,034 / 0,061</t>
  </si>
  <si>
    <t>Plan 086448_00005 cote de l’épaulement de 22.5 0/-0.5 : pas de fonction. Partir sur Dia 22 ou 25 qui est standard (concurrence en 25)</t>
  </si>
  <si>
    <t>Revoir tolérance coté pignon.</t>
  </si>
  <si>
    <t>Pignon :</t>
  </si>
  <si>
    <t>Utilisé des pignons standards + clavetage</t>
  </si>
  <si>
    <t>Turfu ? Jouanel ? SCH ?</t>
  </si>
  <si>
    <t>Rdv avec Numec +
Travail sur pignon standard</t>
  </si>
  <si>
    <t>Alice ; Alex Gir</t>
  </si>
  <si>
    <t>Attention à la dureté des pignons (dureté à diminuer).</t>
  </si>
  <si>
    <t>Voir les tolérances les plus adaptés</t>
  </si>
  <si>
    <t>Prix pignon standard (autour de 5€) + clavetage (5€). On divise à peu près par 2 le prix des pignons (à confirmer)</t>
  </si>
  <si>
    <t>Bloc alu :</t>
  </si>
  <si>
    <t>Dureté mesurée</t>
  </si>
  <si>
    <t>DIMOS : 123 HV</t>
  </si>
  <si>
    <t>Concurrence : autour de 66HV</t>
  </si>
  <si>
    <t>Cout matière alu : 7.22kg pour un bloc x 6€/kg = 43.32€</t>
  </si>
  <si>
    <t>Remarque : prix bloc devrait être autour 1/3 M0 + 1/3 usinage + 1/3 matière (pour une pièce std, ici bcp d’usinage)</t>
  </si>
  <si>
    <t>Surfaçage sur de grande surface, à ne faire que sur les surfaces nécessaires.</t>
  </si>
  <si>
    <t>ASM2 ne sait pas faire cette pièce pour l’instant (pas la machine pour).</t>
  </si>
  <si>
    <t>Aujourd’hui : alu 2017. Prendre du 5083 ? moins cher mais plus difficile à usiner.</t>
  </si>
  <si>
    <t>Faire le bloc en tôlerie (avec profil U)</t>
  </si>
  <si>
    <t>Turfu</t>
  </si>
  <si>
    <t>Etude globale du train</t>
  </si>
  <si>
    <t>Bague bronze au lieu des roulements à billes</t>
  </si>
  <si>
    <t>Faire un laser tube carré (gain énorme) (ré-étude).</t>
  </si>
  <si>
    <t>Entretoise :</t>
  </si>
  <si>
    <t>Partir d’un rond de 25 puis à évider (pas de tolérance pour l’extérieur)</t>
  </si>
  <si>
    <t>Dessin</t>
  </si>
  <si>
    <t>Reprendre GDI avec l’utilisation des roulements (chaine de cotes)</t>
  </si>
  <si>
    <t>Revoir chaine de cotes</t>
  </si>
  <si>
    <t>Alex Gir</t>
  </si>
  <si>
    <t>QTE/MACHINE</t>
  </si>
  <si>
    <t>QTE/20 MACHINES</t>
  </si>
  <si>
    <r>
      <rPr>
        <sz val="11"/>
        <color rgb="FF000000"/>
        <rFont val="Calibri"/>
      </rPr>
      <t xml:space="preserve">€ ACTUEL NUMEC
</t>
    </r>
    <r>
      <rPr>
        <i/>
        <sz val="9"/>
        <color rgb="FF000000"/>
        <rFont val="Calibri"/>
      </rPr>
      <t>42CD4 pré-traité
ep 17</t>
    </r>
  </si>
  <si>
    <t>Pignon 20 dents galet (clavette)</t>
  </si>
  <si>
    <t>Pignon 20 dents transmission (roulement)</t>
  </si>
  <si>
    <t>HPC</t>
  </si>
  <si>
    <t>PRUDHOMME</t>
  </si>
  <si>
    <t>ALPHA</t>
  </si>
  <si>
    <t>SASU Weiss</t>
  </si>
  <si>
    <t>Shandong Diheng New Energy Co., Ltd.</t>
  </si>
  <si>
    <t xml:space="preserve">Li De Industry Co.,Limited </t>
  </si>
  <si>
    <t>DEMANDE</t>
  </si>
  <si>
    <t>achat pignon standard puis reprise en usinage. clavette et roulement</t>
  </si>
  <si>
    <t>taillage et usinage sur mesure</t>
  </si>
  <si>
    <t>pignon standard usiné. uniquement 086416</t>
  </si>
  <si>
    <t>pignon standard usiné. uniquement 086416
GEAKB2.0-30-20-A-20N</t>
  </si>
  <si>
    <t>pignon en décolletage sur mesure, 086416</t>
  </si>
  <si>
    <t>MODULE</t>
  </si>
  <si>
    <t>EPAISSEUR</t>
  </si>
  <si>
    <t>20 ou 15?</t>
  </si>
  <si>
    <t>MATIERE</t>
  </si>
  <si>
    <t>C45</t>
  </si>
  <si>
    <t>42CD4T</t>
  </si>
  <si>
    <t>XC48</t>
  </si>
  <si>
    <t>QTE CHIFFRAGE</t>
  </si>
  <si>
    <t>280
240</t>
  </si>
  <si>
    <t>67+</t>
  </si>
  <si>
    <t>TARIF</t>
  </si>
  <si>
    <t>10 à 12€</t>
  </si>
  <si>
    <t>086417 : 16,10€
086416 : 19,60€</t>
  </si>
  <si>
    <t>COMMENTAIRE</t>
  </si>
  <si>
    <t xml:space="preserve">si changement de matière en C45, gain de 0,15cts. Non interessant par rapport à la perte de qualité. </t>
  </si>
  <si>
    <r>
      <rPr>
        <sz val="11"/>
        <color rgb="FF000000"/>
        <rFont val="Calibri"/>
        <scheme val="minor"/>
      </rPr>
      <t xml:space="preserve">offre sur 16 semaines
</t>
    </r>
    <r>
      <rPr>
        <sz val="11"/>
        <color rgb="FFFF0000"/>
        <rFont val="Calibri"/>
        <scheme val="minor"/>
      </rPr>
      <t>si passage en 10 semaines : 11,47€ pour MOQ 520pcs</t>
    </r>
  </si>
  <si>
    <t>https://fr.misumi-ec.com/vona2/detail/110300428610/?HissuCode=GEAKB2.0-30-20-A-20N&amp;PNSearch=GEAKB2.0-30-20-A-20N&amp;KWSearch=GEAKB2.0-30-20-A-20N&amp;searchFlow=results2products&amp;list=PageSearchResult</t>
  </si>
  <si>
    <t>offre via Canal Source</t>
  </si>
  <si>
    <t>offre via HAIZOL website</t>
  </si>
  <si>
    <t>EXW, DDP ???
offre via HAIZOL website</t>
  </si>
  <si>
    <t>Point préparation réunion avec Numec le 20/03/25 :</t>
  </si>
  <si>
    <t>Remarques :</t>
  </si>
  <si>
    <t>Sur notre machine, nous avons des pignons en module 3. L’épaisseur standard pour ces pignons 30mm.</t>
  </si>
  <si>
    <t>Notre besoin est d’avoir une épaisseur entre 15 et 20mm (aujourd’hui : 17mm)</t>
  </si>
  <si>
    <t>Nos pignons n’ont donc pas une épaisseur standard avec le module demandé.</t>
  </si>
  <si>
    <t>A étudier :</t>
  </si>
  <si>
    <t>En Standard :</t>
  </si>
  <si>
    <t>Module 3 (20 dents), épaisseur 30mm</t>
  </si>
  <si>
    <t>Module 2.5 (24 dents), épaisseur 25mm</t>
  </si>
  <si>
    <t>Module 2 (30 dents), épaisseur 20mm</t>
  </si>
  <si>
    <t>Module 1.5 (épaisseur entre 12 et 17mm (couple maxi : 177 N.m))</t>
  </si>
  <si>
    <t>Données à prendre en compte avec NUmec :</t>
  </si>
  <si>
    <t>Couple maxi de l’ensemble moteur aujourd’hui : 220N.m</t>
  </si>
  <si>
    <t>Diamètre primitif : 60mm</t>
  </si>
  <si>
    <t>A partir de ces éléments, quel pignon utilisé ?</t>
  </si>
  <si>
    <t>Epaisseur à voir en fonction de la matière ?</t>
  </si>
  <si>
    <t>meeting NUMEC 20/03/25</t>
  </si>
  <si>
    <t>présent : G.MAINGUENEAU, Damien et Alice</t>
  </si>
  <si>
    <t>Le changement de module n’engendrera aucun gain sur la fabrication. Numec ne réalise aucun pignon standard sur étagère pour reprise après. il réalise que des pignons sur-mesure pour les clients</t>
  </si>
  <si>
    <t>Piste de gains possibles :</t>
  </si>
  <si>
    <t>Changement de matière : 42CD4 prétraité -&gt; C45</t>
  </si>
  <si>
    <t>Réalisation des pignons sur machine robotisée (mini 200 pièces)</t>
  </si>
  <si>
    <t>Changement d’épaisseur : 17mm -&gt; 15mm</t>
  </si>
  <si>
    <t>Modification de l’approvisionnement en matière : lopin -&gt; barre</t>
  </si>
  <si>
    <t>Les pignons du commerce sont souvent gravé!</t>
  </si>
  <si>
    <t xml:space="preserve">historique des choix : </t>
  </si>
  <si>
    <t>pignon 4S en C45</t>
  </si>
  <si>
    <t>selon nos exigences estimées, besoin d'un pignon cémenté</t>
  </si>
  <si>
    <t>on a donc pris ceinture/bretelle et on a choisi "au milieu"  (entre C45 et cémenté) la matière 42CD4 prétraité à 90kg</t>
  </si>
  <si>
    <t>RESULTAT ETUDE PIGNON CONCURRENT</t>
  </si>
  <si>
    <t>RESULTAT NUMEC</t>
  </si>
  <si>
    <t>RESULTAT BODYCOTE</t>
  </si>
  <si>
    <t>pignon Schlebach:</t>
  </si>
  <si>
    <t>23 dents</t>
  </si>
  <si>
    <t>compo matière 1.2162 - 21MnCr5 - 1.7131</t>
  </si>
  <si>
    <t>module 2,5</t>
  </si>
  <si>
    <t>Mn 1.05</t>
  </si>
  <si>
    <t>22HRC</t>
  </si>
  <si>
    <t>Cr 0.95</t>
  </si>
  <si>
    <t>acier de cémentation de type MC5</t>
  </si>
  <si>
    <t>200HV</t>
  </si>
  <si>
    <t>pignon Jouanel:</t>
  </si>
  <si>
    <t>compo matière Carbon steel</t>
  </si>
  <si>
    <t>Mn 0.41</t>
  </si>
  <si>
    <t>47/50 HRC</t>
  </si>
  <si>
    <t>Acier non allié de type XC</t>
  </si>
  <si>
    <t>pignon traité</t>
  </si>
  <si>
    <t>proposition ASM2</t>
  </si>
  <si>
    <t>Améliorations :</t>
  </si>
  <si>
    <t>Galet Alu, intégration de la galette dans le galet formeur. Forme cylindrique permettant une meilleur prise en main de la pièce lors de l'usinage. Evite une étape de manipulation. réduit également le prix de l'anodisation (une pièce en moins)</t>
  </si>
  <si>
    <t>Galet acier, retirer la poste oxydation</t>
  </si>
  <si>
    <t>GALET ACIER</t>
  </si>
  <si>
    <t>règle de calcul</t>
  </si>
  <si>
    <t>Galet mob inf E new</t>
  </si>
  <si>
    <t xml:space="preserve"> -1€/galet</t>
  </si>
  <si>
    <t>Galet mob inf E + galette</t>
  </si>
  <si>
    <t>nouvelle qté</t>
  </si>
  <si>
    <t>nouveau tarif</t>
  </si>
  <si>
    <t>GAIN AMELIORATION</t>
  </si>
  <si>
    <t>GALET</t>
  </si>
  <si>
    <t>ENTRETOISE</t>
  </si>
  <si>
    <t>AXE</t>
  </si>
  <si>
    <t>TOTAL</t>
  </si>
  <si>
    <t>Entretoise en découpe tube, alu 6060</t>
  </si>
  <si>
    <t xml:space="preserve">ENTRETOISE fix sup F3 </t>
  </si>
  <si>
    <t xml:space="preserve">ENTRETOISE galet engrenage </t>
  </si>
  <si>
    <t>086411_00019_D new</t>
  </si>
  <si>
    <t>086450_00001_C new</t>
  </si>
  <si>
    <t>changement de matière en C45, usinage localisé, tolérence réajustée</t>
  </si>
  <si>
    <t>gain : 0,40€ / axe</t>
  </si>
  <si>
    <t>pignon module 3</t>
  </si>
  <si>
    <t>qté 520</t>
  </si>
  <si>
    <t>(14 + 12) x 20 machines</t>
  </si>
  <si>
    <t>D 66</t>
  </si>
  <si>
    <t>20 dents</t>
  </si>
  <si>
    <t>d60</t>
  </si>
  <si>
    <t>Misumi</t>
  </si>
  <si>
    <t>Prix par 520</t>
  </si>
  <si>
    <t>droit, ep30,  C45</t>
  </si>
  <si>
    <t>GEAHB3.0-20-30-A-20</t>
  </si>
  <si>
    <t>https://fr.misumi-ec.com/vona2/detail/110300428860/?HissuCode=GEAHB3.0-20-30-A-20&amp;PNSearch=GEAHB3.0-20-30-A-20&amp;KWSearch=GEAHB3.0-20-30-A-20&amp;searchFlow=results2products&amp;list=PageSearchResult</t>
  </si>
  <si>
    <t>GEAKB3.0-20-30-A-20N</t>
  </si>
  <si>
    <t>https://fr.misumi-ec.com/vona2/detail/110300428860/?CategorySpec=00000232243%3A%3Aa%0900000232416%3A%3Aa&amp;list=PageCategory</t>
  </si>
  <si>
    <t>Norelem</t>
  </si>
  <si>
    <t>épaulement ep50, C45</t>
  </si>
  <si>
    <t>22400-0130300020</t>
  </si>
  <si>
    <t>https://www.norelem.fr/fr/Aper%C3%A7u+du+produit/Syst%C3%A8mes-et-composants-pour-la-construction-de-machines-et-d%27installations/22000/Engrenages-cr%C3%A9maill%C3%A8res/Engrenage-en-acier-module-3-Denture-droite-frais%C3%A9e-angle-de-pression-20%C2%B0/Engrenage-en-acier-module-3-denture-droite-frais%C3%A9e-angle-de-pression-20%C2%B0-forme-A-avec-%C3%A9paulement/Roue-dent%C3%A9e-droite-acier-naturel/p/22400-0130300020</t>
  </si>
  <si>
    <t>Tri distribution</t>
  </si>
  <si>
    <t>EM3020</t>
  </si>
  <si>
    <t>https://www.tridistribution.fr/engrenage-module-3-pas-de-942mm/3595-engrenage-module-3.html</t>
  </si>
  <si>
    <t>G3-20/ECO</t>
  </si>
  <si>
    <t>https://shop.hpceurope.com/fr/produit.asp?prid=4098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</si>
</sst>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0\ &quot;€&quot;;[Red]\-#,##0\ &quot;€&quot;"/>
    <numFmt numFmtId="8" formatCode="#,##0.00\ &quot;€&quot;;[Red]\-#,##0.00\ &quot;€&quot;"/>
    <numFmt numFmtId="44" formatCode="_-* #,##0.00\ &quot;€&quot;_-;\-* #,##0.00\ &quot;€&quot;_-;_-* &quot;-&quot;??\ &quot;€&quot;_-;_-@_-"/>
    <numFmt numFmtId="164" formatCode="#,##0.00\ &quot;€&quot;"/>
    <numFmt numFmtId="165" formatCode="#,##0.000\ &quot;€&quot;"/>
    <numFmt numFmtId="166" formatCode="_-* #,##0.00\ [$€-40C]_-;\-* #,##0.00\ [$€-40C]_-;_-* &quot;-&quot;??\ [$€-40C]_-;_-@_-"/>
    <numFmt numFmtId="167" formatCode="_-* #,##0\ [$€-40C]_-;\-* #,##0\ [$€-40C]_-;_-* &quot;-&quot;??\ [$€-40C]_-;_-@_-"/>
    <numFmt numFmtId="168" formatCode="0.0"/>
  </numFmts>
  <fonts count="73">
    <font>
      <sz val="11"/>
      <color theme="1"/>
      <name val="Calibri"/>
      <family val="2"/>
      <scheme val="minor"/>
    </font>
    <font>
      <sz val="11"/>
      <color theme="1"/>
      <name val="Calibri"/>
      <scheme val="minor"/>
    </font>
    <font>
      <sz val="11"/>
      <color rgb="FF92D050"/>
      <name val="Calibri"/>
      <family val="2"/>
      <scheme val="minor"/>
    </font>
    <font>
      <sz val="11"/>
      <color rgb="FFFF0000"/>
      <name val="Calibri"/>
      <family val="2"/>
      <scheme val="minor"/>
    </font>
    <font>
      <sz val="11"/>
      <color rgb="FF000000"/>
      <name val="Calibri"/>
      <family val="2"/>
      <scheme val="minor"/>
    </font>
    <font>
      <sz val="8"/>
      <name val="Calibri"/>
      <family val="2"/>
      <scheme val="minor"/>
    </font>
    <font>
      <b/>
      <sz val="11"/>
      <color theme="0"/>
      <name val="Calibri"/>
      <family val="2"/>
      <scheme val="minor"/>
    </font>
    <font>
      <sz val="11"/>
      <name val="Calibri"/>
      <family val="2"/>
      <scheme val="minor"/>
    </font>
    <font>
      <sz val="9"/>
      <color indexed="81"/>
      <name val="Tahoma"/>
      <family val="2"/>
    </font>
    <font>
      <b/>
      <sz val="9"/>
      <color indexed="81"/>
      <name val="Tahoma"/>
      <family val="2"/>
    </font>
    <font>
      <sz val="11"/>
      <color theme="5"/>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FCC400"/>
      <name val="Calibri"/>
      <family val="2"/>
      <scheme val="minor"/>
    </font>
    <font>
      <sz val="14"/>
      <color theme="1"/>
      <name val="Calibri"/>
      <family val="2"/>
      <scheme val="minor"/>
    </font>
    <font>
      <sz val="20"/>
      <color rgb="FF7030A0"/>
      <name val="Calibri"/>
      <family val="2"/>
      <scheme val="minor"/>
    </font>
    <font>
      <sz val="11"/>
      <color theme="1"/>
      <name val="Aptos Narrow"/>
      <family val="2"/>
    </font>
    <font>
      <sz val="11"/>
      <color theme="1"/>
      <name val="Calibri"/>
      <family val="2"/>
      <charset val="1"/>
    </font>
    <font>
      <sz val="12"/>
      <color rgb="FF1F497D"/>
      <name val="Calibri"/>
      <family val="2"/>
      <charset val="1"/>
    </font>
    <font>
      <sz val="11"/>
      <color theme="1"/>
      <name val="Calibri"/>
      <family val="2"/>
    </font>
    <font>
      <b/>
      <sz val="11"/>
      <color theme="1"/>
      <name val="Calibri"/>
      <family val="2"/>
    </font>
    <font>
      <b/>
      <sz val="9"/>
      <color theme="1"/>
      <name val="Segoe UI"/>
      <family val="2"/>
    </font>
    <font>
      <strike/>
      <sz val="11"/>
      <color theme="1"/>
      <name val="Calibri"/>
      <family val="2"/>
      <charset val="1"/>
    </font>
    <font>
      <b/>
      <sz val="14"/>
      <color theme="1"/>
      <name val="Calibri"/>
      <family val="2"/>
      <scheme val="minor"/>
    </font>
    <font>
      <b/>
      <sz val="11"/>
      <color theme="1"/>
      <name val="Calibri"/>
      <family val="2"/>
      <charset val="1"/>
    </font>
    <font>
      <b/>
      <sz val="12"/>
      <color rgb="FF1F497D"/>
      <name val="Calibri"/>
      <family val="2"/>
      <charset val="1"/>
    </font>
    <font>
      <b/>
      <sz val="18"/>
      <color theme="1"/>
      <name val="Calibri"/>
      <family val="2"/>
      <scheme val="minor"/>
    </font>
    <font>
      <b/>
      <sz val="16"/>
      <color theme="0" tint="-4.9989318521683403E-2"/>
      <name val="Calibri"/>
      <family val="2"/>
      <scheme val="minor"/>
    </font>
    <font>
      <u/>
      <sz val="11"/>
      <color theme="10"/>
      <name val="Calibri"/>
      <family val="2"/>
      <scheme val="minor"/>
    </font>
    <font>
      <sz val="11"/>
      <color rgb="FF000000"/>
      <name val="Aptos Narrow"/>
      <family val="2"/>
    </font>
    <font>
      <b/>
      <u/>
      <sz val="11"/>
      <color rgb="FF000000"/>
      <name val="Aptos Narrow"/>
      <family val="2"/>
    </font>
    <font>
      <u/>
      <sz val="11"/>
      <color rgb="FF467886"/>
      <name val="Aptos Narrow"/>
      <family val="2"/>
    </font>
    <font>
      <sz val="11"/>
      <color rgb="FF00B050"/>
      <name val="Calibri"/>
      <family val="2"/>
      <scheme val="minor"/>
    </font>
    <font>
      <b/>
      <sz val="11"/>
      <color rgb="FFFF0000"/>
      <name val="Calibri"/>
      <family val="2"/>
      <scheme val="minor"/>
    </font>
    <font>
      <sz val="11"/>
      <color theme="1"/>
      <name val="Aptos"/>
      <family val="2"/>
      <charset val="1"/>
    </font>
    <font>
      <b/>
      <sz val="12"/>
      <color theme="1"/>
      <name val="Calibri"/>
      <family val="2"/>
      <scheme val="minor"/>
    </font>
    <font>
      <i/>
      <sz val="11"/>
      <color theme="1"/>
      <name val="Calibri"/>
      <family val="2"/>
      <scheme val="minor"/>
    </font>
    <font>
      <b/>
      <i/>
      <sz val="11"/>
      <color theme="1"/>
      <name val="Calibri"/>
      <family val="2"/>
      <scheme val="minor"/>
    </font>
    <font>
      <sz val="11"/>
      <color rgb="FFFFC000"/>
      <name val="Calibri"/>
      <family val="2"/>
      <scheme val="minor"/>
    </font>
    <font>
      <u/>
      <sz val="11"/>
      <color theme="1"/>
      <name val="Calibri"/>
      <family val="2"/>
      <charset val="1"/>
    </font>
    <font>
      <u/>
      <sz val="11"/>
      <color theme="1"/>
      <name val="Calibri"/>
      <family val="2"/>
      <scheme val="minor"/>
    </font>
    <font>
      <b/>
      <sz val="26"/>
      <color rgb="FF00B050"/>
      <name val="Calibri"/>
      <family val="2"/>
      <scheme val="minor"/>
    </font>
    <font>
      <b/>
      <sz val="26"/>
      <color rgb="FFFFC000"/>
      <name val="Calibri"/>
      <family val="2"/>
      <scheme val="minor"/>
    </font>
    <font>
      <sz val="11"/>
      <color rgb="FF000000"/>
      <name val="Calibri"/>
    </font>
    <font>
      <i/>
      <sz val="9"/>
      <color rgb="FF000000"/>
      <name val="Calibri"/>
    </font>
    <font>
      <sz val="26"/>
      <color rgb="FF7030A0"/>
      <name val="Calibri"/>
      <family val="2"/>
      <scheme val="minor"/>
    </font>
    <font>
      <b/>
      <sz val="24"/>
      <color rgb="FF7030A0"/>
      <name val="Calibri"/>
      <family val="2"/>
      <scheme val="minor"/>
    </font>
    <font>
      <sz val="11"/>
      <name val="Calibri"/>
      <family val="2"/>
    </font>
    <font>
      <sz val="11"/>
      <color theme="9"/>
      <name val="Calibri"/>
      <family val="2"/>
      <scheme val="minor"/>
    </font>
    <font>
      <sz val="11"/>
      <color rgb="FF242424"/>
      <name val="Aptos Narrow"/>
      <charset val="1"/>
    </font>
    <font>
      <b/>
      <sz val="28"/>
      <color rgb="FF7030A0"/>
      <name val="Calibri"/>
      <family val="2"/>
      <scheme val="minor"/>
    </font>
    <font>
      <sz val="11"/>
      <color rgb="FF000000"/>
      <name val="Calibri"/>
      <scheme val="minor"/>
    </font>
    <font>
      <sz val="11"/>
      <color rgb="FFFF0000"/>
      <name val="Calibri"/>
      <scheme val="minor"/>
    </font>
    <font>
      <b/>
      <sz val="26"/>
      <color rgb="FF7030A0"/>
      <name val="Calibri"/>
      <family val="2"/>
      <scheme val="minor"/>
    </font>
    <font>
      <b/>
      <sz val="11"/>
      <color rgb="FF000000"/>
      <name val="Calibri"/>
      <scheme val="minor"/>
    </font>
    <font>
      <b/>
      <u/>
      <sz val="36"/>
      <color theme="1"/>
      <name val="Calibri"/>
      <family val="2"/>
      <scheme val="minor"/>
    </font>
    <font>
      <sz val="18"/>
      <color rgb="FFFF0000"/>
      <name val="Calibri"/>
      <family val="2"/>
      <scheme val="minor"/>
    </font>
    <font>
      <sz val="11"/>
      <color rgb="FF000000"/>
      <name val="Calibri"/>
      <family val="2"/>
    </font>
    <font>
      <sz val="12"/>
      <color rgb="FF000000"/>
      <name val="Aptos Narrow"/>
    </font>
    <font>
      <b/>
      <sz val="12"/>
      <color rgb="FF000000"/>
      <name val="Aptos Narrow"/>
    </font>
  </fonts>
  <fills count="54">
    <fill>
      <patternFill patternType="none"/>
    </fill>
    <fill>
      <patternFill patternType="gray125"/>
    </fill>
    <fill>
      <patternFill patternType="solid">
        <fgColor theme="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rgb="FFFF0000"/>
        <bgColor indexed="64"/>
      </patternFill>
    </fill>
    <fill>
      <patternFill patternType="solid">
        <fgColor rgb="FF4E9C96"/>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7C1F1"/>
        <bgColor indexed="64"/>
      </patternFill>
    </fill>
    <fill>
      <patternFill patternType="solid">
        <fgColor rgb="FFFFEFB3"/>
        <bgColor indexed="64"/>
      </patternFill>
    </fill>
    <fill>
      <patternFill patternType="solid">
        <fgColor theme="4"/>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D9E1F2"/>
        <bgColor rgb="FFD9E1F2"/>
      </patternFill>
    </fill>
    <fill>
      <patternFill patternType="solid">
        <fgColor theme="8" tint="0.79998168889431442"/>
        <bgColor indexed="64"/>
      </patternFill>
    </fill>
  </fills>
  <borders count="120">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style="medium">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medium">
        <color rgb="FF000000"/>
      </bottom>
      <diagonal/>
    </border>
    <border>
      <left style="medium">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style="thin">
        <color rgb="FF000000"/>
      </right>
      <top style="medium">
        <color rgb="FF000000"/>
      </top>
      <bottom/>
      <diagonal/>
    </border>
    <border>
      <left style="medium">
        <color rgb="FF000000"/>
      </left>
      <right style="thin">
        <color rgb="FF000000"/>
      </right>
      <top style="medium">
        <color rgb="FF000000"/>
      </top>
      <bottom/>
      <diagonal/>
    </border>
    <border>
      <left style="medium">
        <color indexed="64"/>
      </left>
      <right/>
      <top/>
      <bottom/>
      <diagonal/>
    </border>
    <border>
      <left style="thin">
        <color rgb="FF000000"/>
      </left>
      <right style="medium">
        <color indexed="64"/>
      </right>
      <top/>
      <bottom/>
      <diagonal/>
    </border>
    <border>
      <left style="medium">
        <color indexed="64"/>
      </left>
      <right/>
      <top style="thin">
        <color rgb="FF000000"/>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style="medium">
        <color indexed="64"/>
      </bottom>
      <diagonal/>
    </border>
    <border>
      <left/>
      <right style="medium">
        <color indexed="64"/>
      </right>
      <top style="thin">
        <color rgb="FF000000"/>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rgb="FF000000"/>
      </right>
      <top style="medium">
        <color indexed="64"/>
      </top>
      <bottom style="thin">
        <color rgb="FF000000"/>
      </bottom>
      <diagonal/>
    </border>
    <border>
      <left/>
      <right/>
      <top style="medium">
        <color indexed="64"/>
      </top>
      <bottom style="thin">
        <color rgb="FF000000"/>
      </bottom>
      <diagonal/>
    </border>
    <border>
      <left style="medium">
        <color indexed="64"/>
      </left>
      <right style="thin">
        <color rgb="FF000000"/>
      </right>
      <top/>
      <bottom/>
      <diagonal/>
    </border>
    <border>
      <left style="medium">
        <color indexed="64"/>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top style="medium">
        <color indexed="64"/>
      </top>
      <bottom style="thin">
        <color rgb="FF000000"/>
      </bottom>
      <diagonal/>
    </border>
    <border>
      <left style="medium">
        <color indexed="64"/>
      </left>
      <right/>
      <top/>
      <bottom style="thin">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style="thin">
        <color rgb="FF000000"/>
      </bottom>
      <diagonal/>
    </border>
    <border>
      <left/>
      <right style="medium">
        <color indexed="64"/>
      </right>
      <top/>
      <bottom style="thin">
        <color rgb="FF000000"/>
      </bottom>
      <diagonal/>
    </border>
    <border>
      <left style="medium">
        <color indexed="64"/>
      </left>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rgb="FF000000"/>
      </bottom>
      <diagonal/>
    </border>
    <border>
      <left/>
      <right/>
      <top style="thin">
        <color indexed="64"/>
      </top>
      <bottom style="thin">
        <color indexed="64"/>
      </bottom>
      <diagonal/>
    </border>
    <border>
      <left/>
      <right/>
      <top style="thin">
        <color rgb="FF000000"/>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top style="medium">
        <color rgb="FF000000"/>
      </top>
      <bottom/>
      <diagonal/>
    </border>
    <border>
      <left style="medium">
        <color rgb="FF000000"/>
      </left>
      <right style="medium">
        <color rgb="FF000000"/>
      </right>
      <top/>
      <bottom/>
      <diagonal/>
    </border>
    <border>
      <left/>
      <right style="medium">
        <color rgb="FF000000"/>
      </right>
      <top style="medium">
        <color rgb="FF000000"/>
      </top>
      <bottom style="thin">
        <color rgb="FF000000"/>
      </bottom>
      <diagonal/>
    </border>
    <border>
      <left style="thin">
        <color rgb="FF000000"/>
      </left>
      <right/>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style="medium">
        <color rgb="FF000000"/>
      </right>
      <top style="thin">
        <color rgb="FF000000"/>
      </top>
      <bottom style="medium">
        <color rgb="FF000000"/>
      </bottom>
      <diagonal/>
    </border>
    <border>
      <left/>
      <right/>
      <top style="thin">
        <color rgb="FF000000"/>
      </top>
      <bottom/>
      <diagonal/>
    </border>
    <border>
      <left/>
      <right/>
      <top style="thin">
        <color rgb="FF000000"/>
      </top>
      <bottom style="medium">
        <color rgb="FF000000"/>
      </bottom>
      <diagonal/>
    </border>
    <border>
      <left/>
      <right/>
      <top style="medium">
        <color rgb="FF000000"/>
      </top>
      <bottom/>
      <diagonal/>
    </border>
    <border>
      <left/>
      <right style="medium">
        <color rgb="FF000000"/>
      </right>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diagonal/>
    </border>
    <border>
      <left/>
      <right style="medium">
        <color rgb="FF000000"/>
      </right>
      <top style="thin">
        <color rgb="FF000000"/>
      </top>
      <bottom style="medium">
        <color rgb="FF000000"/>
      </bottom>
      <diagonal/>
    </border>
    <border>
      <left style="medium">
        <color rgb="FF000000"/>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8EA9DB"/>
      </top>
      <bottom style="thin">
        <color rgb="FF8EA9DB"/>
      </bottom>
      <diagonal/>
    </border>
    <border>
      <left/>
      <right style="medium">
        <color indexed="64"/>
      </right>
      <top/>
      <bottom/>
      <diagonal/>
    </border>
    <border>
      <left/>
      <right style="medium">
        <color rgb="FF000000"/>
      </right>
      <top style="medium">
        <color rgb="FF000000"/>
      </top>
      <bottom/>
      <diagonal/>
    </border>
    <border>
      <left/>
      <right/>
      <top style="medium">
        <color rgb="FF000000"/>
      </top>
      <bottom style="thin">
        <color rgb="FF000000"/>
      </bottom>
      <diagonal/>
    </border>
    <border>
      <left/>
      <right/>
      <top/>
      <bottom style="medium">
        <color rgb="FF000000"/>
      </bottom>
      <diagonal/>
    </border>
    <border>
      <left style="medium">
        <color indexed="64"/>
      </left>
      <right style="thin">
        <color rgb="FF000000"/>
      </right>
      <top style="thin">
        <color rgb="FF000000"/>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45">
    <xf numFmtId="0" fontId="0" fillId="0" borderId="0"/>
    <xf numFmtId="0" fontId="12" fillId="0" borderId="0" applyNumberForma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6" borderId="0" applyNumberFormat="0" applyBorder="0" applyAlignment="0" applyProtection="0"/>
    <xf numFmtId="0" fontId="19" fillId="7" borderId="6" applyNumberFormat="0" applyAlignment="0" applyProtection="0"/>
    <xf numFmtId="0" fontId="20" fillId="8" borderId="7" applyNumberFormat="0" applyAlignment="0" applyProtection="0"/>
    <xf numFmtId="0" fontId="21" fillId="8" borderId="6" applyNumberFormat="0" applyAlignment="0" applyProtection="0"/>
    <xf numFmtId="0" fontId="22" fillId="0" borderId="8" applyNumberFormat="0" applyFill="0" applyAlignment="0" applyProtection="0"/>
    <xf numFmtId="0" fontId="6" fillId="9" borderId="9" applyNumberFormat="0" applyAlignment="0" applyProtection="0"/>
    <xf numFmtId="0" fontId="3" fillId="0" borderId="0" applyNumberFormat="0" applyFill="0" applyBorder="0" applyAlignment="0" applyProtection="0"/>
    <xf numFmtId="0" fontId="11" fillId="10" borderId="10" applyNumberFormat="0" applyFont="0" applyAlignment="0" applyProtection="0"/>
    <xf numFmtId="0" fontId="23" fillId="0" borderId="0" applyNumberFormat="0" applyFill="0" applyBorder="0" applyAlignment="0" applyProtection="0"/>
    <xf numFmtId="0" fontId="24" fillId="0" borderId="11" applyNumberFormat="0" applyFill="0" applyAlignment="0" applyProtection="0"/>
    <xf numFmtId="0" fontId="25" fillId="11"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25"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25"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25"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25" fillId="27" borderId="0" applyNumberFormat="0" applyBorder="0" applyAlignment="0" applyProtection="0"/>
    <xf numFmtId="0" fontId="11" fillId="28" borderId="0" applyNumberFormat="0" applyBorder="0" applyAlignment="0" applyProtection="0"/>
    <xf numFmtId="0" fontId="11" fillId="29" borderId="0" applyNumberFormat="0" applyBorder="0" applyAlignment="0" applyProtection="0"/>
    <xf numFmtId="0" fontId="11" fillId="30" borderId="0" applyNumberFormat="0" applyBorder="0" applyAlignment="0" applyProtection="0"/>
    <xf numFmtId="0" fontId="25" fillId="31" borderId="0" applyNumberFormat="0" applyBorder="0" applyAlignment="0" applyProtection="0"/>
    <xf numFmtId="0" fontId="11" fillId="32" borderId="0" applyNumberFormat="0" applyBorder="0" applyAlignment="0" applyProtection="0"/>
    <xf numFmtId="0" fontId="11" fillId="33" borderId="0" applyNumberFormat="0" applyBorder="0" applyAlignment="0" applyProtection="0"/>
    <xf numFmtId="0" fontId="11" fillId="34" borderId="0" applyNumberFormat="0" applyBorder="0" applyAlignment="0" applyProtection="0"/>
    <xf numFmtId="44" fontId="11" fillId="0" borderId="0" applyFont="0" applyFill="0" applyBorder="0" applyAlignment="0" applyProtection="0"/>
    <xf numFmtId="9" fontId="11" fillId="0" borderId="0" applyFont="0" applyFill="0" applyBorder="0" applyAlignment="0" applyProtection="0"/>
    <xf numFmtId="0" fontId="41" fillId="0" borderId="0" applyNumberFormat="0" applyFill="0" applyBorder="0" applyAlignment="0" applyProtection="0"/>
  </cellStyleXfs>
  <cellXfs count="524">
    <xf numFmtId="0" fontId="0" fillId="0" borderId="0" xfId="0"/>
    <xf numFmtId="0" fontId="0" fillId="0" borderId="0" xfId="0" quotePrefix="1"/>
    <xf numFmtId="0" fontId="4" fillId="0" borderId="0" xfId="0" applyFont="1"/>
    <xf numFmtId="0" fontId="0" fillId="0" borderId="2" xfId="0" quotePrefix="1" applyBorder="1"/>
    <xf numFmtId="0" fontId="4" fillId="0" borderId="0" xfId="0" quotePrefix="1" applyFont="1"/>
    <xf numFmtId="44" fontId="0" fillId="0" borderId="0" xfId="0" applyNumberFormat="1"/>
    <xf numFmtId="0" fontId="0" fillId="0" borderId="0" xfId="0" applyAlignment="1">
      <alignment wrapText="1"/>
    </xf>
    <xf numFmtId="0" fontId="0" fillId="0" borderId="0" xfId="0" quotePrefix="1" applyAlignment="1">
      <alignment wrapText="1"/>
    </xf>
    <xf numFmtId="0" fontId="2" fillId="0" borderId="0" xfId="0" applyFont="1" applyAlignment="1">
      <alignment wrapText="1"/>
    </xf>
    <xf numFmtId="14" fontId="0" fillId="0" borderId="0" xfId="0" applyNumberFormat="1"/>
    <xf numFmtId="0" fontId="0" fillId="0" borderId="0" xfId="0" pivotButton="1"/>
    <xf numFmtId="164" fontId="0" fillId="0" borderId="0" xfId="0" applyNumberFormat="1"/>
    <xf numFmtId="165" fontId="0" fillId="0" borderId="0" xfId="0" applyNumberFormat="1"/>
    <xf numFmtId="165" fontId="2" fillId="0" borderId="0" xfId="0" applyNumberFormat="1" applyFont="1" applyAlignment="1">
      <alignment wrapText="1"/>
    </xf>
    <xf numFmtId="165" fontId="0" fillId="0" borderId="0" xfId="0" quotePrefix="1" applyNumberFormat="1"/>
    <xf numFmtId="0" fontId="0" fillId="2" borderId="0" xfId="0" applyFill="1" applyAlignment="1">
      <alignment wrapText="1"/>
    </xf>
    <xf numFmtId="2" fontId="0" fillId="0" borderId="0" xfId="0" applyNumberFormat="1"/>
    <xf numFmtId="1" fontId="0" fillId="0" borderId="0" xfId="0" applyNumberFormat="1"/>
    <xf numFmtId="1" fontId="0" fillId="2" borderId="0" xfId="0" applyNumberFormat="1" applyFill="1" applyAlignment="1">
      <alignment wrapText="1"/>
    </xf>
    <xf numFmtId="1" fontId="0" fillId="0" borderId="0" xfId="0" quotePrefix="1" applyNumberFormat="1"/>
    <xf numFmtId="0" fontId="7" fillId="0" borderId="0" xfId="0" quotePrefix="1" applyFont="1"/>
    <xf numFmtId="0" fontId="7" fillId="0" borderId="0" xfId="0" applyFont="1"/>
    <xf numFmtId="0" fontId="0" fillId="3" borderId="0" xfId="0" applyFill="1" applyAlignment="1">
      <alignment wrapText="1"/>
    </xf>
    <xf numFmtId="165" fontId="0" fillId="3" borderId="0" xfId="0" applyNumberFormat="1" applyFill="1" applyAlignment="1">
      <alignment wrapText="1"/>
    </xf>
    <xf numFmtId="165" fontId="7" fillId="0" borderId="0" xfId="0" quotePrefix="1" applyNumberFormat="1" applyFont="1"/>
    <xf numFmtId="14" fontId="7" fillId="0" borderId="0" xfId="0" applyNumberFormat="1" applyFont="1"/>
    <xf numFmtId="0" fontId="7" fillId="0" borderId="0" xfId="0" applyFont="1" applyAlignment="1">
      <alignment wrapText="1"/>
    </xf>
    <xf numFmtId="0" fontId="3" fillId="0" borderId="0" xfId="0" applyFont="1"/>
    <xf numFmtId="165" fontId="3" fillId="0" borderId="0" xfId="0" quotePrefix="1" applyNumberFormat="1" applyFont="1"/>
    <xf numFmtId="0" fontId="0" fillId="35" borderId="0" xfId="0" applyFill="1"/>
    <xf numFmtId="164" fontId="0" fillId="35" borderId="0" xfId="0" applyNumberFormat="1" applyFill="1"/>
    <xf numFmtId="0" fontId="0" fillId="35" borderId="0" xfId="0" quotePrefix="1" applyFill="1" applyAlignment="1">
      <alignment wrapText="1"/>
    </xf>
    <xf numFmtId="0" fontId="0" fillId="35" borderId="0" xfId="0" quotePrefix="1" applyFill="1"/>
    <xf numFmtId="0" fontId="4" fillId="35" borderId="0" xfId="0" quotePrefix="1" applyFont="1" applyFill="1"/>
    <xf numFmtId="0" fontId="0" fillId="35" borderId="2" xfId="0" quotePrefix="1" applyFill="1" applyBorder="1"/>
    <xf numFmtId="0" fontId="7" fillId="35" borderId="0" xfId="0" quotePrefix="1" applyFont="1" applyFill="1"/>
    <xf numFmtId="0" fontId="0" fillId="35" borderId="1" xfId="0" quotePrefix="1" applyFill="1" applyBorder="1"/>
    <xf numFmtId="0" fontId="0" fillId="35" borderId="2" xfId="0" applyFill="1" applyBorder="1"/>
    <xf numFmtId="165" fontId="0" fillId="36" borderId="0" xfId="0" applyNumberFormat="1" applyFill="1"/>
    <xf numFmtId="9" fontId="0" fillId="0" borderId="0" xfId="43" applyFont="1"/>
    <xf numFmtId="44" fontId="0" fillId="0" borderId="0" xfId="42" quotePrefix="1" applyFont="1" applyAlignment="1">
      <alignment wrapText="1"/>
    </xf>
    <xf numFmtId="44" fontId="0" fillId="0" borderId="0" xfId="42" applyFont="1" applyAlignment="1">
      <alignment wrapText="1"/>
    </xf>
    <xf numFmtId="9" fontId="0" fillId="0" borderId="0" xfId="43" applyFont="1" applyAlignment="1">
      <alignment wrapText="1"/>
    </xf>
    <xf numFmtId="0" fontId="26" fillId="37" borderId="0" xfId="0" applyFont="1" applyFill="1" applyAlignment="1">
      <alignment wrapText="1"/>
    </xf>
    <xf numFmtId="166" fontId="0" fillId="0" borderId="0" xfId="0" applyNumberFormat="1"/>
    <xf numFmtId="0" fontId="0" fillId="0" borderId="0" xfId="0" applyAlignment="1">
      <alignment horizontal="center"/>
    </xf>
    <xf numFmtId="0" fontId="0" fillId="0" borderId="25" xfId="0" applyBorder="1"/>
    <xf numFmtId="0" fontId="0" fillId="0" borderId="26" xfId="0" applyBorder="1"/>
    <xf numFmtId="0" fontId="0" fillId="0" borderId="36" xfId="0" applyBorder="1"/>
    <xf numFmtId="0" fontId="27" fillId="0" borderId="37" xfId="0" applyFont="1" applyBorder="1"/>
    <xf numFmtId="0" fontId="27" fillId="0" borderId="38" xfId="0" applyFont="1" applyBorder="1"/>
    <xf numFmtId="0" fontId="27" fillId="0" borderId="39" xfId="0" applyFont="1" applyBorder="1"/>
    <xf numFmtId="0" fontId="24" fillId="0" borderId="19" xfId="0" applyFont="1" applyBorder="1" applyAlignment="1">
      <alignment horizontal="center"/>
    </xf>
    <xf numFmtId="0" fontId="24" fillId="0" borderId="13" xfId="0" applyFont="1" applyBorder="1" applyAlignment="1">
      <alignment horizontal="center"/>
    </xf>
    <xf numFmtId="0" fontId="24" fillId="0" borderId="33" xfId="0" applyFont="1" applyBorder="1" applyAlignment="1">
      <alignment horizontal="center"/>
    </xf>
    <xf numFmtId="0" fontId="27" fillId="0" borderId="38" xfId="0" applyFont="1" applyBorder="1" applyAlignment="1">
      <alignment wrapText="1"/>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14" xfId="0" applyBorder="1" applyAlignment="1">
      <alignment horizontal="center" vertical="center"/>
    </xf>
    <xf numFmtId="0" fontId="0" fillId="0" borderId="35" xfId="0" applyBorder="1" applyAlignment="1">
      <alignment horizontal="center" vertical="center"/>
    </xf>
    <xf numFmtId="0" fontId="0" fillId="0" borderId="21" xfId="0" applyBorder="1" applyAlignment="1">
      <alignment horizontal="center" vertical="center"/>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34"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40" xfId="0" applyBorder="1" applyAlignment="1">
      <alignment horizontal="center" vertical="center"/>
    </xf>
    <xf numFmtId="0" fontId="0" fillId="0" borderId="17" xfId="0" applyBorder="1" applyAlignment="1">
      <alignment horizontal="center" vertical="center" wrapText="1"/>
    </xf>
    <xf numFmtId="0" fontId="0" fillId="0" borderId="30" xfId="0" applyBorder="1" applyAlignment="1">
      <alignment horizontal="center" vertical="center"/>
    </xf>
    <xf numFmtId="0" fontId="29" fillId="0" borderId="0" xfId="0" applyFont="1"/>
    <xf numFmtId="0" fontId="0" fillId="0" borderId="15" xfId="0" applyBorder="1" applyAlignment="1">
      <alignment horizontal="center" vertical="center" wrapText="1"/>
    </xf>
    <xf numFmtId="0" fontId="24" fillId="0" borderId="29" xfId="0" applyFont="1" applyBorder="1" applyAlignment="1">
      <alignment horizontal="center" wrapText="1"/>
    </xf>
    <xf numFmtId="0" fontId="0" fillId="0" borderId="28" xfId="0" applyBorder="1" applyAlignment="1">
      <alignment horizontal="center" vertical="center" wrapText="1"/>
    </xf>
    <xf numFmtId="0" fontId="0" fillId="0" borderId="30" xfId="0" applyBorder="1" applyAlignment="1">
      <alignment horizontal="center" vertical="center" wrapText="1"/>
    </xf>
    <xf numFmtId="0" fontId="0" fillId="0" borderId="31" xfId="0" applyBorder="1" applyAlignment="1">
      <alignment wrapText="1"/>
    </xf>
    <xf numFmtId="0" fontId="24" fillId="0" borderId="20" xfId="0" applyFont="1" applyBorder="1" applyAlignment="1">
      <alignment horizontal="center" wrapText="1"/>
    </xf>
    <xf numFmtId="0" fontId="0" fillId="0" borderId="18" xfId="0" applyBorder="1" applyAlignment="1">
      <alignment horizontal="center" vertical="center" wrapText="1"/>
    </xf>
    <xf numFmtId="0" fontId="0" fillId="0" borderId="24" xfId="0" applyBorder="1" applyAlignment="1">
      <alignment horizontal="center" vertical="center" wrapText="1"/>
    </xf>
    <xf numFmtId="0" fontId="0" fillId="0" borderId="22" xfId="0" applyBorder="1" applyAlignment="1">
      <alignment horizontal="center" vertical="center" wrapText="1"/>
    </xf>
    <xf numFmtId="0" fontId="0" fillId="0" borderId="27" xfId="0" applyBorder="1" applyAlignment="1">
      <alignment wrapText="1"/>
    </xf>
    <xf numFmtId="0" fontId="0" fillId="0" borderId="26" xfId="0" applyBorder="1" applyAlignment="1">
      <alignment horizontal="center"/>
    </xf>
    <xf numFmtId="0" fontId="30" fillId="0" borderId="0" xfId="0" applyFont="1" applyAlignment="1">
      <alignment wrapText="1"/>
    </xf>
    <xf numFmtId="0" fontId="31" fillId="0" borderId="0" xfId="0" applyFont="1" applyAlignment="1">
      <alignment wrapText="1"/>
    </xf>
    <xf numFmtId="0" fontId="33" fillId="0" borderId="0" xfId="0" applyFont="1" applyAlignment="1">
      <alignment wrapText="1"/>
    </xf>
    <xf numFmtId="0" fontId="24" fillId="0" borderId="0" xfId="0" applyFont="1" applyAlignment="1">
      <alignment wrapText="1"/>
    </xf>
    <xf numFmtId="0" fontId="24" fillId="0" borderId="0" xfId="0" applyFont="1"/>
    <xf numFmtId="0" fontId="32" fillId="0" borderId="0" xfId="0" applyFont="1" applyAlignment="1">
      <alignment wrapText="1"/>
    </xf>
    <xf numFmtId="0" fontId="30" fillId="0" borderId="0" xfId="0" applyFont="1"/>
    <xf numFmtId="0" fontId="33" fillId="38" borderId="0" xfId="0" applyFont="1" applyFill="1"/>
    <xf numFmtId="0" fontId="34" fillId="0" borderId="0" xfId="0" applyFont="1" applyAlignment="1">
      <alignment horizontal="center" vertical="center"/>
    </xf>
    <xf numFmtId="0" fontId="0" fillId="0" borderId="0" xfId="0" applyAlignment="1">
      <alignment horizontal="center" vertical="center"/>
    </xf>
    <xf numFmtId="0" fontId="0" fillId="39" borderId="0" xfId="0" applyFill="1" applyAlignment="1">
      <alignment horizontal="center" vertical="center"/>
    </xf>
    <xf numFmtId="0" fontId="34" fillId="39" borderId="0" xfId="0" applyFont="1" applyFill="1" applyAlignment="1">
      <alignment horizontal="center" vertical="center"/>
    </xf>
    <xf numFmtId="0" fontId="35" fillId="0" borderId="0" xfId="0" applyFont="1" applyAlignment="1">
      <alignment wrapText="1"/>
    </xf>
    <xf numFmtId="0" fontId="0" fillId="0" borderId="0" xfId="0" applyAlignment="1">
      <alignment vertical="center"/>
    </xf>
    <xf numFmtId="0" fontId="36" fillId="0" borderId="0" xfId="0" applyFont="1"/>
    <xf numFmtId="0" fontId="24" fillId="0" borderId="28" xfId="0" applyFont="1" applyBorder="1" applyAlignment="1">
      <alignment horizontal="center" vertical="center"/>
    </xf>
    <xf numFmtId="0" fontId="24" fillId="0" borderId="29" xfId="0" applyFont="1" applyBorder="1" applyAlignment="1">
      <alignment horizontal="center" vertical="center"/>
    </xf>
    <xf numFmtId="0" fontId="24" fillId="0" borderId="31" xfId="0" applyFont="1" applyBorder="1" applyAlignment="1">
      <alignment horizontal="center" vertical="center"/>
    </xf>
    <xf numFmtId="0" fontId="36" fillId="0" borderId="41" xfId="0" applyFont="1" applyBorder="1" applyAlignment="1">
      <alignment horizontal="center" vertical="center"/>
    </xf>
    <xf numFmtId="0" fontId="0" fillId="0" borderId="19" xfId="0" applyBorder="1" applyAlignment="1">
      <alignment horizontal="center" vertical="center"/>
    </xf>
    <xf numFmtId="0" fontId="0" fillId="0" borderId="25" xfId="0" applyBorder="1" applyAlignment="1">
      <alignment horizontal="center" vertical="center"/>
    </xf>
    <xf numFmtId="0" fontId="0" fillId="40" borderId="0" xfId="0" applyFill="1"/>
    <xf numFmtId="0" fontId="24" fillId="40" borderId="0" xfId="0" applyFont="1" applyFill="1"/>
    <xf numFmtId="0" fontId="37" fillId="0" borderId="0" xfId="0" applyFont="1" applyAlignment="1">
      <alignment wrapText="1"/>
    </xf>
    <xf numFmtId="0" fontId="38" fillId="0" borderId="0" xfId="0" applyFont="1" applyAlignment="1">
      <alignment wrapText="1"/>
    </xf>
    <xf numFmtId="0" fontId="0" fillId="0" borderId="42" xfId="0" applyBorder="1" applyAlignment="1">
      <alignment horizontal="center" vertical="center"/>
    </xf>
    <xf numFmtId="0" fontId="0" fillId="0" borderId="46" xfId="0" applyBorder="1" applyAlignment="1">
      <alignment horizontal="center" vertical="center"/>
    </xf>
    <xf numFmtId="166" fontId="0" fillId="0" borderId="46" xfId="0" applyNumberFormat="1" applyBorder="1" applyAlignment="1">
      <alignment vertical="center"/>
    </xf>
    <xf numFmtId="0" fontId="0" fillId="0" borderId="47" xfId="0" applyBorder="1" applyAlignment="1">
      <alignment horizontal="center" vertical="center"/>
    </xf>
    <xf numFmtId="0" fontId="0" fillId="0" borderId="45" xfId="0" applyBorder="1" applyAlignment="1">
      <alignment horizontal="center" vertical="center"/>
    </xf>
    <xf numFmtId="0" fontId="0" fillId="0" borderId="53" xfId="0" applyBorder="1" applyAlignment="1">
      <alignment horizontal="center" vertical="center"/>
    </xf>
    <xf numFmtId="166" fontId="0" fillId="0" borderId="53" xfId="0" applyNumberFormat="1" applyBorder="1" applyAlignment="1">
      <alignment vertical="center"/>
    </xf>
    <xf numFmtId="0" fontId="0" fillId="0" borderId="51" xfId="0" applyBorder="1" applyAlignment="1">
      <alignment horizontal="center" vertical="center"/>
    </xf>
    <xf numFmtId="0" fontId="24" fillId="0" borderId="56" xfId="0" applyFont="1" applyBorder="1" applyAlignment="1">
      <alignment horizontal="center" vertical="center"/>
    </xf>
    <xf numFmtId="0" fontId="0" fillId="0" borderId="50"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166" fontId="0" fillId="0" borderId="47" xfId="0" applyNumberFormat="1" applyBorder="1" applyAlignment="1">
      <alignment vertical="center"/>
    </xf>
    <xf numFmtId="166" fontId="0" fillId="0" borderId="50" xfId="0" applyNumberFormat="1" applyBorder="1" applyAlignment="1">
      <alignment vertical="center"/>
    </xf>
    <xf numFmtId="166" fontId="0" fillId="0" borderId="50" xfId="0" applyNumberFormat="1" applyBorder="1" applyAlignment="1">
      <alignment horizontal="center" vertical="center"/>
    </xf>
    <xf numFmtId="166" fontId="0" fillId="0" borderId="0" xfId="0" applyNumberFormat="1" applyAlignment="1">
      <alignment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166" fontId="0" fillId="0" borderId="66" xfId="0" applyNumberFormat="1" applyBorder="1" applyAlignment="1">
      <alignment vertical="center"/>
    </xf>
    <xf numFmtId="166" fontId="0" fillId="0" borderId="60" xfId="0" applyNumberFormat="1" applyBorder="1" applyAlignment="1">
      <alignment vertical="center"/>
    </xf>
    <xf numFmtId="0" fontId="0" fillId="0" borderId="67" xfId="0" applyBorder="1" applyAlignment="1">
      <alignment horizontal="center" vertical="center"/>
    </xf>
    <xf numFmtId="166" fontId="0" fillId="0" borderId="66" xfId="0" applyNumberFormat="1" applyBorder="1" applyAlignment="1">
      <alignment horizontal="center" vertical="center"/>
    </xf>
    <xf numFmtId="166" fontId="0" fillId="0" borderId="60" xfId="0" applyNumberFormat="1" applyBorder="1" applyAlignment="1">
      <alignment horizontal="center" vertical="center"/>
    </xf>
    <xf numFmtId="0" fontId="0" fillId="0" borderId="68" xfId="0" applyBorder="1" applyAlignment="1">
      <alignment horizontal="center" vertical="center"/>
    </xf>
    <xf numFmtId="166" fontId="0" fillId="0" borderId="2" xfId="0" quotePrefix="1" applyNumberFormat="1" applyBorder="1"/>
    <xf numFmtId="0" fontId="0" fillId="0" borderId="59" xfId="0" quotePrefix="1" applyBorder="1" applyAlignment="1">
      <alignment horizontal="center"/>
    </xf>
    <xf numFmtId="0" fontId="0" fillId="0" borderId="65" xfId="0" quotePrefix="1" applyBorder="1" applyAlignment="1">
      <alignment horizontal="center" vertical="center"/>
    </xf>
    <xf numFmtId="0" fontId="0" fillId="0" borderId="58" xfId="0" quotePrefix="1" applyBorder="1" applyAlignment="1">
      <alignment horizontal="center" vertical="center"/>
    </xf>
    <xf numFmtId="0" fontId="0" fillId="0" borderId="65" xfId="0" quotePrefix="1" applyBorder="1" applyAlignment="1">
      <alignment horizont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4" xfId="0" applyBorder="1"/>
    <xf numFmtId="0" fontId="0" fillId="0" borderId="74" xfId="0" applyBorder="1" applyAlignment="1">
      <alignment wrapText="1"/>
    </xf>
    <xf numFmtId="0" fontId="0" fillId="0" borderId="74" xfId="0" quotePrefix="1" applyBorder="1"/>
    <xf numFmtId="0" fontId="0" fillId="45" borderId="74" xfId="0" applyFill="1" applyBorder="1"/>
    <xf numFmtId="0" fontId="0" fillId="45" borderId="74" xfId="0" applyFill="1" applyBorder="1" applyAlignment="1">
      <alignment wrapText="1"/>
    </xf>
    <xf numFmtId="0" fontId="42" fillId="0" borderId="0" xfId="0" applyFont="1"/>
    <xf numFmtId="0" fontId="43" fillId="0" borderId="0" xfId="0" applyFont="1"/>
    <xf numFmtId="8" fontId="42" fillId="0" borderId="0" xfId="0" applyNumberFormat="1" applyFont="1"/>
    <xf numFmtId="0" fontId="41" fillId="0" borderId="0" xfId="44" applyFill="1" applyBorder="1" applyAlignment="1"/>
    <xf numFmtId="0" fontId="44" fillId="0" borderId="0" xfId="0" applyFont="1"/>
    <xf numFmtId="44" fontId="0" fillId="45" borderId="74" xfId="0" applyNumberFormat="1" applyFill="1" applyBorder="1"/>
    <xf numFmtId="44" fontId="0" fillId="0" borderId="74" xfId="0" applyNumberFormat="1" applyBorder="1"/>
    <xf numFmtId="44" fontId="0" fillId="45" borderId="74" xfId="0" applyNumberFormat="1" applyFill="1" applyBorder="1" applyAlignment="1">
      <alignment wrapText="1"/>
    </xf>
    <xf numFmtId="0" fontId="42" fillId="0" borderId="0" xfId="0" quotePrefix="1" applyFont="1"/>
    <xf numFmtId="0" fontId="28" fillId="0" borderId="0" xfId="0" applyFont="1" applyAlignment="1">
      <alignment horizontal="center" vertical="center"/>
    </xf>
    <xf numFmtId="0" fontId="36" fillId="0" borderId="76" xfId="0" applyFont="1" applyBorder="1" applyAlignment="1">
      <alignment horizontal="center" vertical="center"/>
    </xf>
    <xf numFmtId="0" fontId="0" fillId="0" borderId="77" xfId="0" applyBorder="1" applyAlignment="1">
      <alignment horizontal="center" vertical="center"/>
    </xf>
    <xf numFmtId="166" fontId="0" fillId="0" borderId="69" xfId="0" applyNumberFormat="1" applyBorder="1" applyAlignment="1">
      <alignment vertical="center"/>
    </xf>
    <xf numFmtId="0" fontId="0" fillId="0" borderId="0" xfId="0" quotePrefix="1" applyAlignment="1">
      <alignment horizontal="center"/>
    </xf>
    <xf numFmtId="0" fontId="0" fillId="0" borderId="78" xfId="0" quotePrefix="1" applyBorder="1" applyAlignment="1">
      <alignment horizontal="center"/>
    </xf>
    <xf numFmtId="0" fontId="0" fillId="0" borderId="79" xfId="0" applyBorder="1" applyAlignment="1">
      <alignment horizontal="center" vertical="center"/>
    </xf>
    <xf numFmtId="166" fontId="46" fillId="0" borderId="66" xfId="0" applyNumberFormat="1" applyFont="1" applyBorder="1" applyAlignment="1">
      <alignment vertical="center"/>
    </xf>
    <xf numFmtId="166" fontId="7" fillId="0" borderId="66" xfId="0" applyNumberFormat="1" applyFont="1" applyBorder="1" applyAlignment="1">
      <alignment vertical="center"/>
    </xf>
    <xf numFmtId="0" fontId="7" fillId="46" borderId="1" xfId="0" quotePrefix="1" applyFont="1" applyFill="1" applyBorder="1"/>
    <xf numFmtId="166" fontId="7" fillId="0" borderId="69" xfId="0" applyNumberFormat="1" applyFont="1" applyBorder="1" applyAlignment="1">
      <alignment vertical="center"/>
    </xf>
    <xf numFmtId="166" fontId="7" fillId="0" borderId="47" xfId="0" applyNumberFormat="1" applyFont="1" applyBorder="1" applyAlignment="1">
      <alignment vertical="center"/>
    </xf>
    <xf numFmtId="0" fontId="0" fillId="0" borderId="74" xfId="0" applyBorder="1" applyAlignment="1">
      <alignment horizontal="center"/>
    </xf>
    <xf numFmtId="0" fontId="0" fillId="0" borderId="12" xfId="0" applyBorder="1" applyAlignment="1">
      <alignment horizontal="center"/>
    </xf>
    <xf numFmtId="0" fontId="7" fillId="0" borderId="1" xfId="0" quotePrefix="1" applyFont="1" applyBorder="1"/>
    <xf numFmtId="0" fontId="36" fillId="0" borderId="49" xfId="0" applyFont="1" applyBorder="1" applyAlignment="1">
      <alignment horizontal="center" vertical="center"/>
    </xf>
    <xf numFmtId="166" fontId="0" fillId="0" borderId="2" xfId="0" applyNumberFormat="1" applyBorder="1"/>
    <xf numFmtId="0" fontId="0" fillId="0" borderId="12" xfId="0" applyBorder="1"/>
    <xf numFmtId="0" fontId="0" fillId="0" borderId="80" xfId="0" applyBorder="1"/>
    <xf numFmtId="0" fontId="0" fillId="0" borderId="75" xfId="0" applyBorder="1"/>
    <xf numFmtId="0" fontId="0" fillId="0" borderId="81" xfId="0" applyBorder="1"/>
    <xf numFmtId="0" fontId="0" fillId="46" borderId="2" xfId="0" quotePrefix="1" applyFill="1" applyBorder="1" applyAlignment="1">
      <alignment wrapText="1"/>
    </xf>
    <xf numFmtId="0" fontId="0" fillId="0" borderId="2" xfId="0" quotePrefix="1" applyBorder="1" applyAlignment="1">
      <alignment wrapText="1"/>
    </xf>
    <xf numFmtId="0" fontId="0" fillId="46" borderId="2" xfId="0" applyFill="1" applyBorder="1" applyAlignment="1">
      <alignment wrapText="1"/>
    </xf>
    <xf numFmtId="0" fontId="7" fillId="0" borderId="2" xfId="0" applyFont="1" applyBorder="1" applyAlignment="1">
      <alignment wrapText="1"/>
    </xf>
    <xf numFmtId="0" fontId="7" fillId="46" borderId="2" xfId="0" applyFont="1" applyFill="1" applyBorder="1" applyAlignment="1">
      <alignment wrapText="1"/>
    </xf>
    <xf numFmtId="166" fontId="36" fillId="0" borderId="44" xfId="0" applyNumberFormat="1" applyFont="1" applyBorder="1" applyAlignment="1">
      <alignment vertical="center"/>
    </xf>
    <xf numFmtId="0" fontId="36" fillId="0" borderId="48" xfId="0" applyFont="1" applyBorder="1" applyAlignment="1">
      <alignment vertical="center"/>
    </xf>
    <xf numFmtId="0" fontId="36" fillId="0" borderId="49" xfId="0" applyFont="1" applyBorder="1" applyAlignment="1">
      <alignment vertical="center"/>
    </xf>
    <xf numFmtId="0" fontId="27" fillId="0" borderId="48" xfId="0" applyFont="1" applyBorder="1" applyAlignment="1">
      <alignment vertical="center"/>
    </xf>
    <xf numFmtId="166" fontId="27" fillId="0" borderId="44" xfId="0" applyNumberFormat="1" applyFont="1" applyBorder="1" applyAlignment="1">
      <alignment vertical="center"/>
    </xf>
    <xf numFmtId="0" fontId="27" fillId="0" borderId="49" xfId="0" applyFont="1" applyBorder="1" applyAlignment="1">
      <alignment vertical="center"/>
    </xf>
    <xf numFmtId="0" fontId="27" fillId="0" borderId="48" xfId="0" applyFont="1" applyBorder="1" applyAlignment="1">
      <alignment horizontal="center" vertical="center"/>
    </xf>
    <xf numFmtId="0" fontId="27" fillId="0" borderId="49" xfId="0" applyFont="1" applyBorder="1" applyAlignment="1">
      <alignment horizontal="center" vertical="center"/>
    </xf>
    <xf numFmtId="0" fontId="0" fillId="0" borderId="48" xfId="0" applyBorder="1" applyAlignment="1">
      <alignment horizontal="center" vertical="center"/>
    </xf>
    <xf numFmtId="2" fontId="0" fillId="0" borderId="12" xfId="0" applyNumberFormat="1" applyBorder="1"/>
    <xf numFmtId="0" fontId="0" fillId="47" borderId="12" xfId="0" applyFill="1" applyBorder="1"/>
    <xf numFmtId="0" fontId="0" fillId="48" borderId="60" xfId="0" applyFill="1" applyBorder="1" applyAlignment="1">
      <alignment horizontal="center" vertical="center"/>
    </xf>
    <xf numFmtId="0" fontId="0" fillId="48" borderId="69" xfId="0" applyFill="1" applyBorder="1" applyAlignment="1">
      <alignment horizontal="center" vertical="center"/>
    </xf>
    <xf numFmtId="0" fontId="0" fillId="49" borderId="69" xfId="0" applyFill="1" applyBorder="1" applyAlignment="1">
      <alignment horizontal="center" vertical="center"/>
    </xf>
    <xf numFmtId="0" fontId="0" fillId="49" borderId="66" xfId="0"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36" fillId="0" borderId="85" xfId="0" applyFont="1" applyBorder="1" applyAlignment="1">
      <alignment horizontal="center" vertical="center"/>
    </xf>
    <xf numFmtId="0" fontId="24" fillId="0" borderId="84" xfId="0" applyFont="1" applyBorder="1" applyAlignment="1">
      <alignment horizontal="center" vertical="center"/>
    </xf>
    <xf numFmtId="0" fontId="0" fillId="0" borderId="31" xfId="0" applyBorder="1" applyAlignment="1">
      <alignment horizontal="center" vertical="center"/>
    </xf>
    <xf numFmtId="0" fontId="39" fillId="41" borderId="72" xfId="0" applyFont="1" applyFill="1" applyBorder="1" applyAlignment="1">
      <alignment horizontal="center" vertical="center" wrapText="1"/>
    </xf>
    <xf numFmtId="0" fontId="0" fillId="38" borderId="0" xfId="0" applyFill="1"/>
    <xf numFmtId="44" fontId="0" fillId="0" borderId="0" xfId="0" applyNumberFormat="1" applyAlignment="1">
      <alignment horizontal="right"/>
    </xf>
    <xf numFmtId="0" fontId="47" fillId="0" borderId="0" xfId="0" applyFont="1" applyAlignment="1">
      <alignment wrapText="1"/>
    </xf>
    <xf numFmtId="0" fontId="48" fillId="0" borderId="0" xfId="0" applyFont="1"/>
    <xf numFmtId="0" fontId="47" fillId="0" borderId="0" xfId="0" applyFont="1"/>
    <xf numFmtId="0" fontId="49" fillId="0" borderId="0" xfId="0" applyFont="1"/>
    <xf numFmtId="44" fontId="45" fillId="0" borderId="0" xfId="0" applyNumberFormat="1" applyFont="1"/>
    <xf numFmtId="0" fontId="45" fillId="0" borderId="0" xfId="0" applyFont="1"/>
    <xf numFmtId="44" fontId="0" fillId="0" borderId="12" xfId="0" applyNumberFormat="1" applyBorder="1"/>
    <xf numFmtId="44" fontId="45" fillId="0" borderId="12" xfId="0" applyNumberFormat="1" applyFont="1" applyBorder="1"/>
    <xf numFmtId="166" fontId="3" fillId="0" borderId="66" xfId="0" applyNumberFormat="1" applyFont="1" applyBorder="1" applyAlignment="1">
      <alignment horizontal="center" vertical="center"/>
    </xf>
    <xf numFmtId="166" fontId="4" fillId="0" borderId="53" xfId="0" applyNumberFormat="1" applyFont="1" applyBorder="1" applyAlignment="1">
      <alignment vertical="center"/>
    </xf>
    <xf numFmtId="166" fontId="3" fillId="0" borderId="46" xfId="0" applyNumberFormat="1" applyFont="1" applyBorder="1" applyAlignment="1">
      <alignment vertical="center"/>
    </xf>
    <xf numFmtId="0" fontId="24" fillId="0" borderId="69" xfId="0" applyFont="1" applyBorder="1" applyAlignment="1">
      <alignment horizontal="center" vertical="center"/>
    </xf>
    <xf numFmtId="0" fontId="24" fillId="0" borderId="47" xfId="0" applyFont="1" applyBorder="1" applyAlignment="1">
      <alignment horizontal="center" vertical="center"/>
    </xf>
    <xf numFmtId="166" fontId="50" fillId="0" borderId="66" xfId="0" applyNumberFormat="1" applyFont="1" applyBorder="1" applyAlignment="1">
      <alignment horizontal="center" vertical="center"/>
    </xf>
    <xf numFmtId="0" fontId="0" fillId="0" borderId="12" xfId="0" applyBorder="1" applyAlignment="1">
      <alignment horizontal="right"/>
    </xf>
    <xf numFmtId="166" fontId="24" fillId="0" borderId="14" xfId="0" quotePrefix="1" applyNumberFormat="1" applyFont="1" applyBorder="1"/>
    <xf numFmtId="166" fontId="0" fillId="0" borderId="0" xfId="0" applyNumberFormat="1" applyAlignment="1">
      <alignment horizontal="center" vertical="center"/>
    </xf>
    <xf numFmtId="9" fontId="0" fillId="0" borderId="0" xfId="0" applyNumberFormat="1"/>
    <xf numFmtId="166" fontId="45" fillId="0" borderId="14" xfId="0" quotePrefix="1" applyNumberFormat="1" applyFont="1" applyBorder="1"/>
    <xf numFmtId="0" fontId="51" fillId="0" borderId="0" xfId="0" applyFont="1"/>
    <xf numFmtId="166" fontId="45" fillId="0" borderId="34" xfId="0" applyNumberFormat="1" applyFont="1" applyBorder="1"/>
    <xf numFmtId="166" fontId="51" fillId="0" borderId="12" xfId="0" applyNumberFormat="1" applyFont="1" applyBorder="1"/>
    <xf numFmtId="166" fontId="51" fillId="0" borderId="14" xfId="0" quotePrefix="1" applyNumberFormat="1" applyFont="1" applyBorder="1" applyAlignment="1">
      <alignment horizontal="right"/>
    </xf>
    <xf numFmtId="0" fontId="0" fillId="0" borderId="15" xfId="0" applyBorder="1"/>
    <xf numFmtId="0" fontId="0" fillId="0" borderId="30" xfId="0" applyBorder="1"/>
    <xf numFmtId="0" fontId="0" fillId="0" borderId="15" xfId="0" applyBorder="1" applyAlignment="1">
      <alignment wrapText="1"/>
    </xf>
    <xf numFmtId="0" fontId="24" fillId="0" borderId="12" xfId="0" applyFont="1" applyBorder="1" applyAlignment="1">
      <alignment horizontal="center" wrapText="1"/>
    </xf>
    <xf numFmtId="0" fontId="0" fillId="45" borderId="12" xfId="0" applyFill="1" applyBorder="1" applyAlignment="1">
      <alignment horizontal="center"/>
    </xf>
    <xf numFmtId="0" fontId="52" fillId="0" borderId="0" xfId="0" applyFont="1" applyAlignment="1">
      <alignment wrapText="1"/>
    </xf>
    <xf numFmtId="0" fontId="53" fillId="0" borderId="0" xfId="0" applyFont="1" applyAlignment="1">
      <alignment wrapText="1"/>
    </xf>
    <xf numFmtId="167" fontId="55" fillId="38" borderId="35" xfId="0" applyNumberFormat="1" applyFont="1" applyFill="1" applyBorder="1"/>
    <xf numFmtId="0" fontId="0" fillId="0" borderId="12" xfId="0" quotePrefix="1" applyBorder="1"/>
    <xf numFmtId="8" fontId="0" fillId="0" borderId="12" xfId="0" applyNumberFormat="1" applyBorder="1"/>
    <xf numFmtId="0" fontId="0" fillId="0" borderId="12" xfId="0" applyBorder="1" applyAlignment="1">
      <alignment wrapText="1"/>
    </xf>
    <xf numFmtId="0" fontId="0" fillId="44" borderId="12" xfId="0" applyFill="1" applyBorder="1" applyAlignment="1">
      <alignment horizontal="center" vertical="center"/>
    </xf>
    <xf numFmtId="0" fontId="56" fillId="44" borderId="12" xfId="0" applyFont="1" applyFill="1" applyBorder="1" applyAlignment="1">
      <alignment horizontal="center" vertical="center" wrapText="1"/>
    </xf>
    <xf numFmtId="0" fontId="0" fillId="51" borderId="12" xfId="0" applyFill="1" applyBorder="1"/>
    <xf numFmtId="0" fontId="0" fillId="0" borderId="12" xfId="0" applyBorder="1" applyAlignment="1">
      <alignment horizontal="center" wrapText="1"/>
    </xf>
    <xf numFmtId="0" fontId="24" fillId="0" borderId="15" xfId="0" applyFont="1" applyBorder="1" applyAlignment="1">
      <alignment horizontal="center" wrapText="1"/>
    </xf>
    <xf numFmtId="0" fontId="0" fillId="0" borderId="12" xfId="0" applyBorder="1" applyAlignment="1">
      <alignment vertical="center"/>
    </xf>
    <xf numFmtId="0" fontId="0" fillId="0" borderId="12" xfId="0" applyBorder="1" applyAlignment="1">
      <alignment vertical="center" wrapText="1"/>
    </xf>
    <xf numFmtId="0" fontId="24" fillId="0" borderId="12" xfId="0" applyFont="1" applyBorder="1" applyAlignment="1">
      <alignment vertical="center" wrapText="1"/>
    </xf>
    <xf numFmtId="8" fontId="0" fillId="0" borderId="0" xfId="0" applyNumberFormat="1"/>
    <xf numFmtId="0" fontId="56" fillId="0" borderId="0" xfId="0" applyFont="1" applyAlignment="1">
      <alignment horizontal="center" vertical="center" wrapText="1"/>
    </xf>
    <xf numFmtId="0" fontId="53" fillId="0" borderId="0" xfId="0" applyFont="1"/>
    <xf numFmtId="0" fontId="52" fillId="0" borderId="0" xfId="0" applyFont="1"/>
    <xf numFmtId="0" fontId="41" fillId="0" borderId="12" xfId="44" applyBorder="1"/>
    <xf numFmtId="0" fontId="0" fillId="51" borderId="13" xfId="0" applyFill="1" applyBorder="1"/>
    <xf numFmtId="0" fontId="0" fillId="0" borderId="13" xfId="0" applyBorder="1" applyAlignment="1">
      <alignment horizontal="center"/>
    </xf>
    <xf numFmtId="8" fontId="0" fillId="0" borderId="13" xfId="0" applyNumberFormat="1" applyBorder="1" applyAlignment="1">
      <alignment horizontal="center"/>
    </xf>
    <xf numFmtId="167" fontId="54" fillId="38" borderId="23" xfId="0" applyNumberFormat="1" applyFont="1" applyFill="1" applyBorder="1"/>
    <xf numFmtId="0" fontId="0" fillId="0" borderId="22" xfId="0" applyBorder="1"/>
    <xf numFmtId="166" fontId="24" fillId="0" borderId="23" xfId="0" quotePrefix="1" applyNumberFormat="1" applyFont="1" applyBorder="1"/>
    <xf numFmtId="166" fontId="51" fillId="0" borderId="23" xfId="0" quotePrefix="1" applyNumberFormat="1" applyFont="1" applyBorder="1"/>
    <xf numFmtId="0" fontId="0" fillId="0" borderId="22" xfId="0" applyBorder="1" applyAlignment="1">
      <alignment wrapText="1"/>
    </xf>
    <xf numFmtId="166" fontId="45" fillId="0" borderId="23" xfId="0" quotePrefix="1" applyNumberFormat="1" applyFont="1" applyBorder="1"/>
    <xf numFmtId="166" fontId="45" fillId="0" borderId="21" xfId="0" applyNumberFormat="1" applyFont="1" applyBorder="1"/>
    <xf numFmtId="166" fontId="51" fillId="0" borderId="21" xfId="0" applyNumberFormat="1" applyFont="1" applyBorder="1"/>
    <xf numFmtId="166" fontId="45" fillId="0" borderId="25" xfId="0" applyNumberFormat="1" applyFont="1" applyBorder="1"/>
    <xf numFmtId="166" fontId="45" fillId="0" borderId="26" xfId="0" applyNumberFormat="1" applyFont="1" applyBorder="1"/>
    <xf numFmtId="0" fontId="0" fillId="0" borderId="31" xfId="0" applyBorder="1"/>
    <xf numFmtId="0" fontId="0" fillId="0" borderId="26" xfId="0" applyBorder="1" applyAlignment="1">
      <alignment vertical="center"/>
    </xf>
    <xf numFmtId="0" fontId="0" fillId="0" borderId="27" xfId="0" applyBorder="1"/>
    <xf numFmtId="0" fontId="0" fillId="0" borderId="30" xfId="0" applyBorder="1" applyAlignment="1">
      <alignment wrapText="1"/>
    </xf>
    <xf numFmtId="44" fontId="0" fillId="0" borderId="30" xfId="0" applyNumberFormat="1" applyBorder="1" applyAlignment="1">
      <alignment horizontal="right"/>
    </xf>
    <xf numFmtId="44" fontId="0" fillId="0" borderId="88" xfId="0" applyNumberFormat="1" applyBorder="1" applyAlignment="1">
      <alignment horizontal="right"/>
    </xf>
    <xf numFmtId="0" fontId="0" fillId="0" borderId="46" xfId="0" applyBorder="1" applyAlignment="1">
      <alignment horizontal="right"/>
    </xf>
    <xf numFmtId="166" fontId="0" fillId="0" borderId="15" xfId="0" applyNumberFormat="1" applyBorder="1"/>
    <xf numFmtId="0" fontId="24" fillId="0" borderId="89" xfId="0" applyFont="1" applyBorder="1" applyAlignment="1">
      <alignment horizontal="center" wrapText="1"/>
    </xf>
    <xf numFmtId="166" fontId="24" fillId="0" borderId="90" xfId="0" quotePrefix="1" applyNumberFormat="1" applyFont="1" applyBorder="1"/>
    <xf numFmtId="166" fontId="45" fillId="0" borderId="90" xfId="0" quotePrefix="1" applyNumberFormat="1" applyFont="1" applyBorder="1"/>
    <xf numFmtId="166" fontId="45" fillId="0" borderId="91" xfId="0" applyNumberFormat="1" applyFont="1" applyBorder="1"/>
    <xf numFmtId="166" fontId="51" fillId="0" borderId="91" xfId="0" applyNumberFormat="1" applyFont="1" applyBorder="1"/>
    <xf numFmtId="166" fontId="45" fillId="0" borderId="93" xfId="0" applyNumberFormat="1" applyFont="1" applyBorder="1"/>
    <xf numFmtId="0" fontId="24" fillId="0" borderId="46" xfId="0" applyFont="1" applyBorder="1" applyAlignment="1">
      <alignment horizontal="center" wrapText="1"/>
    </xf>
    <xf numFmtId="0" fontId="0" fillId="0" borderId="47" xfId="0" applyBorder="1"/>
    <xf numFmtId="0" fontId="0" fillId="0" borderId="46" xfId="0" applyBorder="1"/>
    <xf numFmtId="0" fontId="0" fillId="0" borderId="46" xfId="0" applyBorder="1" applyAlignment="1">
      <alignment wrapText="1"/>
    </xf>
    <xf numFmtId="0" fontId="0" fillId="0" borderId="95" xfId="0" applyBorder="1"/>
    <xf numFmtId="167" fontId="54" fillId="38" borderId="90" xfId="0" applyNumberFormat="1" applyFont="1" applyFill="1" applyBorder="1"/>
    <xf numFmtId="166" fontId="51" fillId="0" borderId="90" xfId="0" quotePrefix="1" applyNumberFormat="1" applyFont="1" applyBorder="1"/>
    <xf numFmtId="0" fontId="24" fillId="0" borderId="87" xfId="0" applyFont="1" applyBorder="1" applyAlignment="1">
      <alignment horizontal="center" wrapText="1"/>
    </xf>
    <xf numFmtId="167" fontId="55" fillId="38" borderId="97" xfId="0" applyNumberFormat="1" applyFont="1" applyFill="1" applyBorder="1"/>
    <xf numFmtId="166" fontId="24" fillId="0" borderId="97" xfId="0" quotePrefix="1" applyNumberFormat="1" applyFont="1" applyBorder="1"/>
    <xf numFmtId="166" fontId="51" fillId="0" borderId="97" xfId="0" quotePrefix="1" applyNumberFormat="1" applyFont="1" applyBorder="1" applyAlignment="1">
      <alignment horizontal="right"/>
    </xf>
    <xf numFmtId="166" fontId="45" fillId="0" borderId="97" xfId="0" quotePrefix="1" applyNumberFormat="1" applyFont="1" applyBorder="1"/>
    <xf numFmtId="166" fontId="45" fillId="0" borderId="98" xfId="0" applyNumberFormat="1" applyFont="1" applyBorder="1"/>
    <xf numFmtId="166" fontId="51" fillId="0" borderId="98" xfId="0" applyNumberFormat="1" applyFont="1" applyBorder="1"/>
    <xf numFmtId="166" fontId="45" fillId="0" borderId="100" xfId="0" applyNumberFormat="1" applyFont="1" applyBorder="1"/>
    <xf numFmtId="0" fontId="24" fillId="0" borderId="23" xfId="0" applyFont="1" applyBorder="1" applyAlignment="1">
      <alignment horizontal="center" wrapText="1"/>
    </xf>
    <xf numFmtId="0" fontId="24" fillId="0" borderId="35" xfId="0" applyFont="1" applyBorder="1" applyAlignment="1">
      <alignment horizontal="center" wrapText="1"/>
    </xf>
    <xf numFmtId="0" fontId="24" fillId="0" borderId="30" xfId="0" applyFont="1" applyBorder="1" applyAlignment="1">
      <alignment horizontal="center" wrapText="1"/>
    </xf>
    <xf numFmtId="0" fontId="24" fillId="0" borderId="14" xfId="0" applyFont="1" applyBorder="1" applyAlignment="1">
      <alignment horizontal="center" wrapText="1"/>
    </xf>
    <xf numFmtId="0" fontId="24" fillId="0" borderId="14" xfId="0" applyFont="1" applyBorder="1" applyAlignment="1">
      <alignment vertical="center" wrapText="1"/>
    </xf>
    <xf numFmtId="0" fontId="24" fillId="0" borderId="24" xfId="0" applyFont="1" applyBorder="1" applyAlignment="1">
      <alignment horizontal="center" wrapText="1"/>
    </xf>
    <xf numFmtId="0" fontId="58" fillId="0" borderId="0" xfId="0" applyFont="1"/>
    <xf numFmtId="166" fontId="59" fillId="0" borderId="0" xfId="0" applyNumberFormat="1" applyFont="1"/>
    <xf numFmtId="0" fontId="0" fillId="0" borderId="0" xfId="0" applyAlignment="1">
      <alignment horizontal="center" wrapText="1"/>
    </xf>
    <xf numFmtId="0" fontId="60" fillId="52" borderId="105" xfId="0" applyFont="1" applyFill="1" applyBorder="1" applyAlignment="1">
      <alignment wrapText="1"/>
    </xf>
    <xf numFmtId="0" fontId="0" fillId="45" borderId="12" xfId="0" applyFill="1" applyBorder="1" applyAlignment="1">
      <alignment horizontal="center" wrapText="1"/>
    </xf>
    <xf numFmtId="168" fontId="0" fillId="0" borderId="13" xfId="0" applyNumberFormat="1" applyBorder="1" applyAlignment="1">
      <alignment horizontal="center"/>
    </xf>
    <xf numFmtId="0" fontId="0" fillId="0" borderId="13" xfId="0" applyBorder="1" applyAlignment="1">
      <alignment horizontal="center" vertical="center"/>
    </xf>
    <xf numFmtId="0" fontId="0" fillId="39" borderId="12" xfId="0" applyFill="1" applyBorder="1" applyAlignment="1">
      <alignment horizontal="center" vertical="center"/>
    </xf>
    <xf numFmtId="166" fontId="0" fillId="0" borderId="34" xfId="0" applyNumberFormat="1" applyBorder="1" applyAlignment="1">
      <alignment vertical="center"/>
    </xf>
    <xf numFmtId="166" fontId="0" fillId="0" borderId="12" xfId="0" applyNumberFormat="1" applyBorder="1" applyAlignment="1">
      <alignment vertical="center"/>
    </xf>
    <xf numFmtId="166" fontId="45" fillId="0" borderId="90" xfId="0" applyNumberFormat="1" applyFont="1" applyBorder="1"/>
    <xf numFmtId="166" fontId="63" fillId="0" borderId="0" xfId="0" applyNumberFormat="1" applyFont="1"/>
    <xf numFmtId="166" fontId="3" fillId="0" borderId="47" xfId="0" applyNumberFormat="1" applyFont="1" applyBorder="1" applyAlignment="1">
      <alignment vertical="center"/>
    </xf>
    <xf numFmtId="0" fontId="0" fillId="0" borderId="106" xfId="0" applyBorder="1" applyAlignment="1">
      <alignment horizontal="center" vertical="center"/>
    </xf>
    <xf numFmtId="0" fontId="45" fillId="0" borderId="13" xfId="0" applyFont="1" applyBorder="1" applyAlignment="1">
      <alignment horizontal="center"/>
    </xf>
    <xf numFmtId="0" fontId="4" fillId="0" borderId="13" xfId="0" applyFont="1" applyBorder="1" applyAlignment="1">
      <alignment horizontal="center" wrapText="1"/>
    </xf>
    <xf numFmtId="6" fontId="0" fillId="39" borderId="47" xfId="0" applyNumberFormat="1" applyFill="1" applyBorder="1" applyAlignment="1">
      <alignment horizontal="right"/>
    </xf>
    <xf numFmtId="166" fontId="3" fillId="39" borderId="91" xfId="0" applyNumberFormat="1" applyFont="1" applyFill="1" applyBorder="1"/>
    <xf numFmtId="0" fontId="0" fillId="39" borderId="46" xfId="0" applyFill="1" applyBorder="1"/>
    <xf numFmtId="0" fontId="0" fillId="39" borderId="12" xfId="0" applyFill="1" applyBorder="1"/>
    <xf numFmtId="0" fontId="0" fillId="39" borderId="12" xfId="0" applyFill="1" applyBorder="1" applyAlignment="1">
      <alignment vertical="center"/>
    </xf>
    <xf numFmtId="0" fontId="0" fillId="39" borderId="15" xfId="0" applyFill="1" applyBorder="1"/>
    <xf numFmtId="166" fontId="26" fillId="39" borderId="21" xfId="0" applyNumberFormat="1" applyFont="1" applyFill="1" applyBorder="1"/>
    <xf numFmtId="166" fontId="26" fillId="39" borderId="34" xfId="0" applyNumberFormat="1" applyFont="1" applyFill="1" applyBorder="1"/>
    <xf numFmtId="0" fontId="0" fillId="39" borderId="15" xfId="0" applyFill="1" applyBorder="1" applyAlignment="1">
      <alignment wrapText="1"/>
    </xf>
    <xf numFmtId="0" fontId="0" fillId="39" borderId="22" xfId="0" applyFill="1" applyBorder="1"/>
    <xf numFmtId="166" fontId="51" fillId="39" borderId="91" xfId="0" applyNumberFormat="1" applyFont="1" applyFill="1" applyBorder="1"/>
    <xf numFmtId="166" fontId="51" fillId="39" borderId="98" xfId="0" applyNumberFormat="1" applyFont="1" applyFill="1" applyBorder="1"/>
    <xf numFmtId="0" fontId="0" fillId="39" borderId="0" xfId="0" applyFill="1"/>
    <xf numFmtId="166" fontId="0" fillId="39" borderId="30" xfId="0" applyNumberFormat="1" applyFill="1" applyBorder="1" applyAlignment="1">
      <alignment horizontal="right"/>
    </xf>
    <xf numFmtId="166" fontId="51" fillId="39" borderId="98" xfId="0" applyNumberFormat="1" applyFont="1" applyFill="1" applyBorder="1" applyAlignment="1">
      <alignment horizontal="right"/>
    </xf>
    <xf numFmtId="0" fontId="0" fillId="39" borderId="46" xfId="0" quotePrefix="1" applyFill="1" applyBorder="1" applyAlignment="1">
      <alignment vertical="top" wrapText="1"/>
    </xf>
    <xf numFmtId="0" fontId="0" fillId="39" borderId="12" xfId="0" quotePrefix="1" applyFill="1" applyBorder="1" applyAlignment="1">
      <alignment vertical="top" wrapText="1"/>
    </xf>
    <xf numFmtId="0" fontId="0" fillId="39" borderId="15" xfId="0" applyFill="1" applyBorder="1" applyAlignment="1">
      <alignment vertical="top" wrapText="1"/>
    </xf>
    <xf numFmtId="166" fontId="51" fillId="39" borderId="21" xfId="0" applyNumberFormat="1" applyFont="1" applyFill="1" applyBorder="1"/>
    <xf numFmtId="166" fontId="51" fillId="39" borderId="12" xfId="0" applyNumberFormat="1" applyFont="1" applyFill="1" applyBorder="1" applyAlignment="1">
      <alignment horizontal="right"/>
    </xf>
    <xf numFmtId="0" fontId="0" fillId="39" borderId="15" xfId="0" quotePrefix="1" applyFill="1" applyBorder="1" applyAlignment="1">
      <alignment vertical="top" wrapText="1"/>
    </xf>
    <xf numFmtId="0" fontId="0" fillId="39" borderId="22" xfId="0" applyFill="1" applyBorder="1" applyAlignment="1">
      <alignment vertical="top" wrapText="1"/>
    </xf>
    <xf numFmtId="166" fontId="51" fillId="39" borderId="91" xfId="0" applyNumberFormat="1" applyFont="1" applyFill="1" applyBorder="1" applyAlignment="1">
      <alignment wrapText="1"/>
    </xf>
    <xf numFmtId="0" fontId="0" fillId="39" borderId="46" xfId="0" applyFill="1" applyBorder="1" applyAlignment="1">
      <alignment wrapText="1"/>
    </xf>
    <xf numFmtId="166" fontId="51" fillId="39" borderId="12" xfId="0" applyNumberFormat="1" applyFont="1" applyFill="1" applyBorder="1"/>
    <xf numFmtId="0" fontId="62" fillId="39" borderId="0" xfId="0" applyFont="1" applyFill="1"/>
    <xf numFmtId="166" fontId="66" fillId="0" borderId="0" xfId="0" applyNumberFormat="1" applyFont="1"/>
    <xf numFmtId="0" fontId="0" fillId="53" borderId="13" xfId="0" applyFill="1" applyBorder="1"/>
    <xf numFmtId="0" fontId="0" fillId="53" borderId="29" xfId="0" applyFill="1" applyBorder="1"/>
    <xf numFmtId="166" fontId="51" fillId="53" borderId="92" xfId="0" applyNumberFormat="1" applyFont="1" applyFill="1" applyBorder="1"/>
    <xf numFmtId="166" fontId="51" fillId="53" borderId="99" xfId="0" applyNumberFormat="1" applyFont="1" applyFill="1" applyBorder="1"/>
    <xf numFmtId="0" fontId="0" fillId="53" borderId="94" xfId="0" applyFill="1" applyBorder="1"/>
    <xf numFmtId="0" fontId="0" fillId="53" borderId="12" xfId="0" applyFill="1" applyBorder="1"/>
    <xf numFmtId="0" fontId="0" fillId="53" borderId="12" xfId="0" applyFill="1" applyBorder="1" applyAlignment="1">
      <alignment vertical="center"/>
    </xf>
    <xf numFmtId="0" fontId="0" fillId="53" borderId="15" xfId="0" applyFill="1" applyBorder="1" applyAlignment="1">
      <alignment wrapText="1"/>
    </xf>
    <xf numFmtId="166" fontId="51" fillId="53" borderId="19" xfId="0" applyNumberFormat="1" applyFont="1" applyFill="1" applyBorder="1"/>
    <xf numFmtId="166" fontId="51" fillId="53" borderId="13" xfId="0" applyNumberFormat="1" applyFont="1" applyFill="1" applyBorder="1"/>
    <xf numFmtId="0" fontId="0" fillId="53" borderId="22" xfId="0" applyFill="1" applyBorder="1" applyAlignment="1">
      <alignment wrapText="1"/>
    </xf>
    <xf numFmtId="0" fontId="0" fillId="53" borderId="15" xfId="0" applyFill="1" applyBorder="1" applyAlignment="1">
      <alignment horizontal="left" vertical="top" wrapText="1"/>
    </xf>
    <xf numFmtId="0" fontId="0" fillId="53" borderId="94" xfId="0" applyFill="1" applyBorder="1" applyAlignment="1">
      <alignment wrapText="1"/>
    </xf>
    <xf numFmtId="0" fontId="0" fillId="53" borderId="0" xfId="0" applyFill="1"/>
    <xf numFmtId="0" fontId="0" fillId="53" borderId="12" xfId="0" applyFill="1" applyBorder="1" applyAlignment="1">
      <alignment wrapText="1"/>
    </xf>
    <xf numFmtId="166" fontId="0" fillId="53" borderId="15" xfId="0" applyNumberFormat="1" applyFill="1" applyBorder="1" applyAlignment="1">
      <alignment wrapText="1"/>
    </xf>
    <xf numFmtId="166" fontId="51" fillId="53" borderId="91" xfId="0" applyNumberFormat="1" applyFont="1" applyFill="1" applyBorder="1" applyAlignment="1">
      <alignment wrapText="1"/>
    </xf>
    <xf numFmtId="166" fontId="51" fillId="53" borderId="98" xfId="0" applyNumberFormat="1" applyFont="1" applyFill="1" applyBorder="1" applyAlignment="1">
      <alignment wrapText="1"/>
    </xf>
    <xf numFmtId="0" fontId="0" fillId="53" borderId="46" xfId="0" applyFill="1" applyBorder="1" applyAlignment="1">
      <alignment wrapText="1"/>
    </xf>
    <xf numFmtId="0" fontId="0" fillId="53" borderId="12" xfId="0" applyFill="1" applyBorder="1" applyAlignment="1">
      <alignment vertical="center" wrapText="1"/>
    </xf>
    <xf numFmtId="166" fontId="51" fillId="53" borderId="21" xfId="0" applyNumberFormat="1" applyFont="1" applyFill="1" applyBorder="1" applyAlignment="1">
      <alignment wrapText="1"/>
    </xf>
    <xf numFmtId="166" fontId="51" fillId="53" borderId="12" xfId="0" applyNumberFormat="1" applyFont="1" applyFill="1" applyBorder="1" applyAlignment="1">
      <alignment wrapText="1"/>
    </xf>
    <xf numFmtId="166" fontId="61" fillId="53" borderId="91" xfId="0" applyNumberFormat="1" applyFont="1" applyFill="1" applyBorder="1" applyAlignment="1">
      <alignment wrapText="1"/>
    </xf>
    <xf numFmtId="0" fontId="0" fillId="53" borderId="0" xfId="0" applyFill="1" applyAlignment="1">
      <alignment wrapText="1"/>
    </xf>
    <xf numFmtId="166" fontId="45" fillId="53" borderId="91" xfId="0" applyNumberFormat="1" applyFont="1" applyFill="1" applyBorder="1" applyAlignment="1">
      <alignment wrapText="1"/>
    </xf>
    <xf numFmtId="166" fontId="45" fillId="53" borderId="98" xfId="0" applyNumberFormat="1" applyFont="1" applyFill="1" applyBorder="1" applyAlignment="1">
      <alignment wrapText="1"/>
    </xf>
    <xf numFmtId="166" fontId="45" fillId="53" borderId="21" xfId="0" applyNumberFormat="1" applyFont="1" applyFill="1" applyBorder="1" applyAlignment="1">
      <alignment wrapText="1"/>
    </xf>
    <xf numFmtId="166" fontId="45" fillId="53" borderId="12" xfId="0" applyNumberFormat="1" applyFont="1" applyFill="1" applyBorder="1" applyAlignment="1">
      <alignment wrapText="1"/>
    </xf>
    <xf numFmtId="166" fontId="0" fillId="39" borderId="0" xfId="0" applyNumberFormat="1" applyFill="1"/>
    <xf numFmtId="166" fontId="0" fillId="53" borderId="0" xfId="0" applyNumberFormat="1" applyFill="1" applyAlignment="1">
      <alignment wrapText="1"/>
    </xf>
    <xf numFmtId="0" fontId="64" fillId="39" borderId="46" xfId="0" applyFont="1" applyFill="1" applyBorder="1" applyAlignment="1">
      <alignment wrapText="1"/>
    </xf>
    <xf numFmtId="0" fontId="62" fillId="39" borderId="0" xfId="0" applyFont="1" applyFill="1" applyAlignment="1">
      <alignment wrapText="1"/>
    </xf>
    <xf numFmtId="166" fontId="61" fillId="39" borderId="91" xfId="0" applyNumberFormat="1" applyFont="1" applyFill="1" applyBorder="1"/>
    <xf numFmtId="44" fontId="0" fillId="0" borderId="0" xfId="42" applyFont="1"/>
    <xf numFmtId="0" fontId="24" fillId="0" borderId="47" xfId="0" applyFont="1" applyBorder="1" applyAlignment="1">
      <alignment horizontal="center" wrapText="1"/>
    </xf>
    <xf numFmtId="167" fontId="55" fillId="38" borderId="47" xfId="0" applyNumberFormat="1" applyFont="1" applyFill="1" applyBorder="1"/>
    <xf numFmtId="166" fontId="24" fillId="0" borderId="47" xfId="0" quotePrefix="1" applyNumberFormat="1" applyFont="1" applyBorder="1"/>
    <xf numFmtId="166" fontId="51" fillId="0" borderId="47" xfId="0" quotePrefix="1" applyNumberFormat="1" applyFont="1" applyBorder="1" applyAlignment="1">
      <alignment horizontal="right"/>
    </xf>
    <xf numFmtId="166" fontId="45" fillId="0" borderId="47" xfId="0" quotePrefix="1" applyNumberFormat="1" applyFont="1" applyBorder="1"/>
    <xf numFmtId="166" fontId="45" fillId="0" borderId="46" xfId="0" applyNumberFormat="1" applyFont="1" applyBorder="1"/>
    <xf numFmtId="166" fontId="45" fillId="39" borderId="46" xfId="0" applyNumberFormat="1" applyFont="1" applyFill="1" applyBorder="1"/>
    <xf numFmtId="166" fontId="51" fillId="39" borderId="46" xfId="0" applyNumberFormat="1" applyFont="1" applyFill="1" applyBorder="1" applyAlignment="1">
      <alignment horizontal="right"/>
    </xf>
    <xf numFmtId="166" fontId="51" fillId="39" borderId="46" xfId="0" applyNumberFormat="1" applyFont="1" applyFill="1" applyBorder="1"/>
    <xf numFmtId="166" fontId="51" fillId="53" borderId="94" xfId="0" applyNumberFormat="1" applyFont="1" applyFill="1" applyBorder="1"/>
    <xf numFmtId="166" fontId="51" fillId="53" borderId="46" xfId="0" applyNumberFormat="1" applyFont="1" applyFill="1" applyBorder="1" applyAlignment="1">
      <alignment wrapText="1"/>
    </xf>
    <xf numFmtId="166" fontId="45" fillId="53" borderId="46" xfId="0" applyNumberFormat="1" applyFont="1" applyFill="1" applyBorder="1" applyAlignment="1">
      <alignment wrapText="1"/>
    </xf>
    <xf numFmtId="166" fontId="51" fillId="0" borderId="46" xfId="0" applyNumberFormat="1" applyFont="1" applyBorder="1"/>
    <xf numFmtId="166" fontId="45" fillId="0" borderId="95" xfId="0" applyNumberFormat="1" applyFont="1" applyBorder="1"/>
    <xf numFmtId="167" fontId="55" fillId="38" borderId="12" xfId="0" applyNumberFormat="1" applyFont="1" applyFill="1" applyBorder="1"/>
    <xf numFmtId="166" fontId="24" fillId="0" borderId="12" xfId="0" quotePrefix="1" applyNumberFormat="1" applyFont="1" applyBorder="1"/>
    <xf numFmtId="166" fontId="51" fillId="0" borderId="12" xfId="0" quotePrefix="1" applyNumberFormat="1" applyFont="1" applyBorder="1" applyAlignment="1">
      <alignment horizontal="right"/>
    </xf>
    <xf numFmtId="166" fontId="45" fillId="0" borderId="12" xfId="0" quotePrefix="1" applyNumberFormat="1" applyFont="1" applyBorder="1"/>
    <xf numFmtId="166" fontId="45" fillId="0" borderId="12" xfId="0" applyNumberFormat="1" applyFont="1" applyBorder="1"/>
    <xf numFmtId="166" fontId="45" fillId="39" borderId="12" xfId="0" applyNumberFormat="1" applyFont="1" applyFill="1" applyBorder="1"/>
    <xf numFmtId="166" fontId="51" fillId="53" borderId="12" xfId="0" applyNumberFormat="1" applyFont="1" applyFill="1" applyBorder="1"/>
    <xf numFmtId="0" fontId="24" fillId="0" borderId="108" xfId="0" applyFont="1" applyBorder="1" applyAlignment="1">
      <alignment horizontal="center" wrapText="1"/>
    </xf>
    <xf numFmtId="167" fontId="45" fillId="0" borderId="12" xfId="0" applyNumberFormat="1" applyFont="1" applyBorder="1"/>
    <xf numFmtId="166" fontId="24" fillId="0" borderId="30" xfId="0" quotePrefix="1" applyNumberFormat="1" applyFont="1" applyBorder="1"/>
    <xf numFmtId="166" fontId="51" fillId="0" borderId="30" xfId="0" quotePrefix="1" applyNumberFormat="1" applyFont="1" applyBorder="1" applyAlignment="1">
      <alignment horizontal="right"/>
    </xf>
    <xf numFmtId="166" fontId="45" fillId="0" borderId="30" xfId="0" quotePrefix="1" applyNumberFormat="1" applyFont="1" applyBorder="1"/>
    <xf numFmtId="166" fontId="26" fillId="39" borderId="46" xfId="0" applyNumberFormat="1" applyFont="1" applyFill="1" applyBorder="1"/>
    <xf numFmtId="166" fontId="51" fillId="39" borderId="15" xfId="0" applyNumberFormat="1" applyFont="1" applyFill="1" applyBorder="1" applyAlignment="1">
      <alignment horizontal="right"/>
    </xf>
    <xf numFmtId="166" fontId="51" fillId="39" borderId="15" xfId="0" applyNumberFormat="1" applyFont="1" applyFill="1" applyBorder="1"/>
    <xf numFmtId="166" fontId="51" fillId="53" borderId="29" xfId="0" applyNumberFormat="1" applyFont="1" applyFill="1" applyBorder="1"/>
    <xf numFmtId="166" fontId="51" fillId="53" borderId="15" xfId="0" applyNumberFormat="1" applyFont="1" applyFill="1" applyBorder="1" applyAlignment="1">
      <alignment wrapText="1"/>
    </xf>
    <xf numFmtId="166" fontId="45" fillId="53" borderId="15" xfId="0" applyNumberFormat="1" applyFont="1" applyFill="1" applyBorder="1" applyAlignment="1">
      <alignment wrapText="1"/>
    </xf>
    <xf numFmtId="166" fontId="51" fillId="0" borderId="15" xfId="0" applyNumberFormat="1" applyFont="1" applyBorder="1"/>
    <xf numFmtId="166" fontId="45" fillId="0" borderId="31" xfId="0" applyNumberFormat="1" applyFont="1" applyBorder="1"/>
    <xf numFmtId="166" fontId="51" fillId="39" borderId="0" xfId="0" applyNumberFormat="1" applyFont="1" applyFill="1"/>
    <xf numFmtId="166" fontId="45" fillId="0" borderId="109" xfId="0" applyNumberFormat="1" applyFont="1" applyBorder="1"/>
    <xf numFmtId="167" fontId="24" fillId="38" borderId="12" xfId="0" applyNumberFormat="1" applyFont="1" applyFill="1" applyBorder="1" applyAlignment="1">
      <alignment wrapText="1"/>
    </xf>
    <xf numFmtId="44" fontId="0" fillId="39" borderId="0" xfId="0" applyNumberFormat="1" applyFill="1"/>
    <xf numFmtId="0" fontId="68" fillId="0" borderId="0" xfId="0" applyFont="1"/>
    <xf numFmtId="44" fontId="0" fillId="53" borderId="0" xfId="0" applyNumberFormat="1" applyFill="1" applyAlignment="1">
      <alignment wrapText="1"/>
    </xf>
    <xf numFmtId="0" fontId="69" fillId="0" borderId="0" xfId="0" applyFont="1"/>
    <xf numFmtId="0" fontId="0" fillId="45" borderId="75" xfId="0" applyFill="1" applyBorder="1"/>
    <xf numFmtId="0" fontId="0" fillId="45" borderId="75" xfId="0" applyFill="1" applyBorder="1" applyAlignment="1">
      <alignment wrapText="1"/>
    </xf>
    <xf numFmtId="44" fontId="0" fillId="45" borderId="75" xfId="0" applyNumberFormat="1" applyFill="1" applyBorder="1"/>
    <xf numFmtId="44" fontId="0" fillId="45" borderId="75" xfId="0" applyNumberFormat="1" applyFill="1" applyBorder="1" applyAlignment="1">
      <alignment wrapText="1"/>
    </xf>
    <xf numFmtId="0" fontId="60" fillId="0" borderId="12" xfId="0" quotePrefix="1" applyFont="1" applyBorder="1"/>
    <xf numFmtId="0" fontId="70" fillId="0" borderId="12" xfId="0" applyFont="1" applyBorder="1"/>
    <xf numFmtId="8" fontId="70" fillId="0" borderId="12" xfId="0" applyNumberFormat="1" applyFont="1" applyBorder="1"/>
    <xf numFmtId="8" fontId="0" fillId="0" borderId="74" xfId="0" applyNumberFormat="1" applyBorder="1"/>
    <xf numFmtId="0" fontId="24" fillId="0" borderId="18" xfId="0" applyFont="1" applyBorder="1" applyAlignment="1">
      <alignment horizontal="center" vertical="center"/>
    </xf>
    <xf numFmtId="0" fontId="24" fillId="0" borderId="27" xfId="0" applyFont="1" applyBorder="1" applyAlignment="1">
      <alignment horizontal="center" vertical="center"/>
    </xf>
    <xf numFmtId="0" fontId="0" fillId="0" borderId="60" xfId="0" quotePrefix="1" applyBorder="1" applyAlignment="1">
      <alignment horizontal="center" vertical="center"/>
    </xf>
    <xf numFmtId="0" fontId="36" fillId="42" borderId="72" xfId="0" applyFont="1" applyFill="1" applyBorder="1" applyAlignment="1">
      <alignment vertical="center"/>
    </xf>
    <xf numFmtId="0" fontId="71" fillId="0" borderId="113" xfId="0" applyFont="1" applyBorder="1"/>
    <xf numFmtId="0" fontId="71" fillId="0" borderId="114" xfId="0" applyFont="1" applyBorder="1"/>
    <xf numFmtId="0" fontId="71" fillId="0" borderId="115" xfId="0" applyFont="1" applyBorder="1"/>
    <xf numFmtId="8" fontId="71" fillId="0" borderId="111" xfId="0" applyNumberFormat="1" applyFont="1" applyBorder="1"/>
    <xf numFmtId="8" fontId="71" fillId="0" borderId="112" xfId="0" applyNumberFormat="1" applyFont="1" applyBorder="1"/>
    <xf numFmtId="0" fontId="71" fillId="0" borderId="117" xfId="0" applyFont="1" applyBorder="1"/>
    <xf numFmtId="0" fontId="71" fillId="0" borderId="67" xfId="0" applyFont="1" applyBorder="1"/>
    <xf numFmtId="0" fontId="71" fillId="0" borderId="77" xfId="0" applyFont="1" applyBorder="1"/>
    <xf numFmtId="8" fontId="71" fillId="0" borderId="116" xfId="0" applyNumberFormat="1" applyFont="1" applyBorder="1"/>
    <xf numFmtId="0" fontId="71" fillId="0" borderId="79" xfId="0" applyFont="1" applyBorder="1"/>
    <xf numFmtId="0" fontId="71" fillId="0" borderId="118" xfId="0" applyFont="1" applyBorder="1"/>
    <xf numFmtId="0" fontId="0" fillId="0" borderId="59" xfId="0" applyBorder="1" applyAlignment="1">
      <alignment horizontal="center"/>
    </xf>
    <xf numFmtId="166" fontId="36" fillId="0" borderId="49" xfId="0" applyNumberFormat="1" applyFont="1" applyBorder="1" applyAlignment="1">
      <alignment vertical="center"/>
    </xf>
    <xf numFmtId="0" fontId="0" fillId="0" borderId="65" xfId="0" applyBorder="1" applyAlignment="1">
      <alignment horizontal="center"/>
    </xf>
    <xf numFmtId="166" fontId="24" fillId="0" borderId="66" xfId="0" applyNumberFormat="1" applyFont="1" applyBorder="1" applyAlignment="1">
      <alignment vertical="center"/>
    </xf>
    <xf numFmtId="166" fontId="24" fillId="0" borderId="47" xfId="0" applyNumberFormat="1" applyFont="1" applyBorder="1" applyAlignment="1">
      <alignment vertical="center"/>
    </xf>
    <xf numFmtId="9" fontId="0" fillId="0" borderId="0" xfId="0" applyNumberFormat="1" applyAlignment="1">
      <alignment horizontal="center" vertical="center"/>
    </xf>
    <xf numFmtId="0" fontId="72" fillId="0" borderId="67" xfId="0" applyFont="1" applyBorder="1"/>
    <xf numFmtId="0" fontId="72" fillId="0" borderId="77" xfId="0" applyFont="1" applyBorder="1"/>
    <xf numFmtId="8" fontId="0" fillId="0" borderId="66" xfId="0" applyNumberFormat="1" applyBorder="1" applyAlignment="1">
      <alignment horizontal="center" vertical="center"/>
    </xf>
    <xf numFmtId="0" fontId="0" fillId="39" borderId="12" xfId="0" applyFill="1" applyBorder="1" applyAlignment="1">
      <alignment horizontal="center" vertical="center" wrapText="1"/>
    </xf>
    <xf numFmtId="0" fontId="0" fillId="38" borderId="13" xfId="0" applyFill="1" applyBorder="1" applyAlignment="1">
      <alignment horizontal="right"/>
    </xf>
    <xf numFmtId="0" fontId="0" fillId="38" borderId="14" xfId="0" applyFill="1" applyBorder="1" applyAlignment="1">
      <alignment horizontal="right"/>
    </xf>
    <xf numFmtId="0" fontId="0" fillId="38" borderId="14" xfId="0" applyFill="1" applyBorder="1" applyAlignment="1">
      <alignment horizontal="right" wrapText="1"/>
    </xf>
    <xf numFmtId="0" fontId="39" fillId="0" borderId="101" xfId="0" applyFont="1" applyBorder="1" applyAlignment="1">
      <alignment horizontal="center"/>
    </xf>
    <xf numFmtId="0" fontId="39" fillId="0" borderId="96" xfId="0" applyFont="1" applyBorder="1" applyAlignment="1">
      <alignment horizontal="center"/>
    </xf>
    <xf numFmtId="0" fontId="24" fillId="0" borderId="15" xfId="0" applyFont="1" applyBorder="1" applyAlignment="1">
      <alignment horizontal="center"/>
    </xf>
    <xf numFmtId="0" fontId="24" fillId="0" borderId="46" xfId="0" applyFont="1" applyBorder="1" applyAlignment="1">
      <alignment horizontal="center"/>
    </xf>
    <xf numFmtId="0" fontId="39" fillId="0" borderId="107" xfId="0" applyFont="1" applyBorder="1" applyAlignment="1">
      <alignment horizontal="center"/>
    </xf>
    <xf numFmtId="0" fontId="39" fillId="0" borderId="102" xfId="0" applyFont="1" applyBorder="1" applyAlignment="1">
      <alignment horizontal="center"/>
    </xf>
    <xf numFmtId="0" fontId="39" fillId="0" borderId="103" xfId="0" applyFont="1" applyBorder="1" applyAlignment="1">
      <alignment horizontal="center"/>
    </xf>
    <xf numFmtId="0" fontId="39" fillId="0" borderId="104" xfId="0" applyFont="1" applyBorder="1" applyAlignment="1">
      <alignment horizontal="center"/>
    </xf>
    <xf numFmtId="0" fontId="0" fillId="0" borderId="0" xfId="0" applyAlignment="1">
      <alignment horizontal="center" wrapText="1"/>
    </xf>
    <xf numFmtId="0" fontId="0" fillId="0" borderId="86" xfId="0" applyBorder="1" applyAlignment="1">
      <alignment horizontal="center" vertical="center"/>
    </xf>
    <xf numFmtId="0" fontId="0" fillId="0" borderId="86" xfId="0" applyBorder="1" applyAlignment="1">
      <alignment horizontal="center" vertical="center" wrapText="1"/>
    </xf>
    <xf numFmtId="0" fontId="0" fillId="0" borderId="83" xfId="0" applyBorder="1" applyAlignment="1">
      <alignment horizontal="center" vertical="center"/>
    </xf>
    <xf numFmtId="0" fontId="0" fillId="0" borderId="82" xfId="0" applyBorder="1" applyAlignment="1">
      <alignment horizontal="center" vertical="center"/>
    </xf>
    <xf numFmtId="0" fontId="36" fillId="0" borderId="16" xfId="0" applyFont="1" applyBorder="1" applyAlignment="1">
      <alignment horizontal="center" vertical="center"/>
    </xf>
    <xf numFmtId="0" fontId="36" fillId="0" borderId="25" xfId="0" applyFont="1" applyBorder="1" applyAlignment="1">
      <alignment horizontal="center" vertical="center"/>
    </xf>
    <xf numFmtId="0" fontId="28" fillId="0" borderId="0" xfId="0" applyFont="1" applyAlignment="1">
      <alignment horizontal="center" vertical="center"/>
    </xf>
    <xf numFmtId="0" fontId="36" fillId="0" borderId="19" xfId="0" applyFont="1" applyBorder="1" applyAlignment="1">
      <alignment horizontal="center" vertical="center"/>
    </xf>
    <xf numFmtId="0" fontId="0" fillId="45" borderId="12" xfId="0" applyFill="1" applyBorder="1" applyAlignment="1">
      <alignment horizontal="center"/>
    </xf>
    <xf numFmtId="164" fontId="45" fillId="0" borderId="15" xfId="0" applyNumberFormat="1" applyFont="1" applyBorder="1" applyAlignment="1">
      <alignment horizontal="center"/>
    </xf>
    <xf numFmtId="164" fontId="45" fillId="0" borderId="46" xfId="0" applyNumberFormat="1" applyFont="1" applyBorder="1" applyAlignment="1">
      <alignment horizontal="center"/>
    </xf>
    <xf numFmtId="164" fontId="45" fillId="0" borderId="34" xfId="0" applyNumberFormat="1" applyFont="1" applyBorder="1" applyAlignment="1">
      <alignment horizontal="center"/>
    </xf>
    <xf numFmtId="0" fontId="40" fillId="43" borderId="74" xfId="0" applyFont="1" applyFill="1" applyBorder="1" applyAlignment="1">
      <alignment horizontal="center"/>
    </xf>
    <xf numFmtId="0" fontId="0" fillId="44" borderId="74" xfId="0" applyFill="1" applyBorder="1" applyAlignment="1">
      <alignment horizontal="center"/>
    </xf>
    <xf numFmtId="0" fontId="0" fillId="45" borderId="74" xfId="0" applyFill="1" applyBorder="1" applyAlignment="1">
      <alignment horizontal="center"/>
    </xf>
    <xf numFmtId="0" fontId="36" fillId="0" borderId="52" xfId="0" applyFont="1" applyBorder="1" applyAlignment="1">
      <alignment horizontal="center" vertical="center" wrapText="1"/>
    </xf>
    <xf numFmtId="0" fontId="36" fillId="0" borderId="54" xfId="0" applyFont="1" applyBorder="1" applyAlignment="1">
      <alignment horizontal="center" vertical="center" wrapText="1"/>
    </xf>
    <xf numFmtId="0" fontId="36" fillId="0" borderId="55" xfId="0" applyFont="1" applyBorder="1" applyAlignment="1">
      <alignment horizontal="center" vertical="center" wrapText="1"/>
    </xf>
    <xf numFmtId="0" fontId="24" fillId="0" borderId="62" xfId="0" applyFont="1" applyBorder="1" applyAlignment="1">
      <alignment horizontal="center" vertical="center"/>
    </xf>
    <xf numFmtId="0" fontId="24" fillId="0" borderId="43" xfId="0" applyFont="1" applyBorder="1" applyAlignment="1">
      <alignment horizontal="center" vertical="center"/>
    </xf>
    <xf numFmtId="0" fontId="24" fillId="0" borderId="63" xfId="0" applyFont="1" applyBorder="1" applyAlignment="1">
      <alignment horizontal="center" vertical="center"/>
    </xf>
    <xf numFmtId="166" fontId="36" fillId="0" borderId="44" xfId="0" applyNumberFormat="1" applyFont="1" applyBorder="1" applyAlignment="1">
      <alignment horizontal="center" vertical="center"/>
    </xf>
    <xf numFmtId="0" fontId="36" fillId="0" borderId="48" xfId="0" applyFont="1" applyBorder="1" applyAlignment="1">
      <alignment horizontal="center" vertical="center"/>
    </xf>
    <xf numFmtId="0" fontId="36" fillId="0" borderId="49" xfId="0" applyFont="1" applyBorder="1" applyAlignment="1">
      <alignment horizontal="center" vertical="center"/>
    </xf>
    <xf numFmtId="0" fontId="36" fillId="41" borderId="71" xfId="0" applyFont="1" applyFill="1" applyBorder="1" applyAlignment="1">
      <alignment horizontal="center" vertical="center"/>
    </xf>
    <xf numFmtId="0" fontId="36" fillId="41" borderId="72" xfId="0" applyFont="1" applyFill="1" applyBorder="1" applyAlignment="1">
      <alignment horizontal="center" vertical="center"/>
    </xf>
    <xf numFmtId="166" fontId="39" fillId="41" borderId="71" xfId="0" applyNumberFormat="1" applyFont="1" applyFill="1" applyBorder="1" applyAlignment="1">
      <alignment horizontal="center" vertical="center"/>
    </xf>
    <xf numFmtId="0" fontId="39" fillId="41" borderId="73" xfId="0" applyFont="1" applyFill="1" applyBorder="1" applyAlignment="1">
      <alignment horizontal="center" vertical="center"/>
    </xf>
    <xf numFmtId="0" fontId="36" fillId="42" borderId="71" xfId="0" applyFont="1" applyFill="1" applyBorder="1" applyAlignment="1">
      <alignment horizontal="center" vertical="center"/>
    </xf>
    <xf numFmtId="0" fontId="36" fillId="42" borderId="72" xfId="0" applyFont="1" applyFill="1" applyBorder="1" applyAlignment="1">
      <alignment horizontal="center" vertical="center"/>
    </xf>
    <xf numFmtId="166" fontId="39" fillId="42" borderId="71" xfId="0" applyNumberFormat="1" applyFont="1" applyFill="1" applyBorder="1" applyAlignment="1">
      <alignment horizontal="center" vertical="center"/>
    </xf>
    <xf numFmtId="0" fontId="39" fillId="42" borderId="73" xfId="0" applyFont="1" applyFill="1" applyBorder="1" applyAlignment="1">
      <alignment horizontal="center" vertical="center"/>
    </xf>
    <xf numFmtId="0" fontId="36" fillId="0" borderId="76" xfId="0" applyFont="1" applyBorder="1" applyAlignment="1">
      <alignment horizontal="center" vertical="center"/>
    </xf>
    <xf numFmtId="0" fontId="36" fillId="0" borderId="52" xfId="0" applyFont="1" applyBorder="1" applyAlignment="1">
      <alignment horizontal="center" vertical="center"/>
    </xf>
    <xf numFmtId="0" fontId="36" fillId="0" borderId="54" xfId="0" applyFont="1" applyBorder="1" applyAlignment="1">
      <alignment horizontal="center" vertical="center"/>
    </xf>
    <xf numFmtId="0" fontId="36" fillId="0" borderId="55" xfId="0" applyFont="1" applyBorder="1" applyAlignment="1">
      <alignment horizontal="center" vertical="center"/>
    </xf>
    <xf numFmtId="166" fontId="39" fillId="42" borderId="73" xfId="0" applyNumberFormat="1" applyFont="1" applyFill="1" applyBorder="1" applyAlignment="1">
      <alignment horizontal="center" vertical="center"/>
    </xf>
    <xf numFmtId="0" fontId="0" fillId="0" borderId="76" xfId="0" applyBorder="1" applyAlignment="1">
      <alignment horizontal="center" vertical="center"/>
    </xf>
    <xf numFmtId="0" fontId="36" fillId="42" borderId="71" xfId="0" applyFont="1" applyFill="1" applyBorder="1" applyAlignment="1">
      <alignment horizontal="center" vertical="center" wrapText="1"/>
    </xf>
    <xf numFmtId="0" fontId="36" fillId="42" borderId="72" xfId="0" applyFont="1" applyFill="1" applyBorder="1" applyAlignment="1">
      <alignment horizontal="center" vertical="center" wrapText="1"/>
    </xf>
    <xf numFmtId="166" fontId="36" fillId="0" borderId="119" xfId="0" applyNumberFormat="1" applyFont="1" applyBorder="1" applyAlignment="1">
      <alignment horizontal="center" vertical="center"/>
    </xf>
    <xf numFmtId="166" fontId="36" fillId="0" borderId="76" xfId="0" applyNumberFormat="1" applyFont="1" applyBorder="1" applyAlignment="1">
      <alignment horizontal="center" vertical="center"/>
    </xf>
    <xf numFmtId="166" fontId="36" fillId="0" borderId="118" xfId="0" applyNumberFormat="1" applyFont="1" applyBorder="1" applyAlignment="1">
      <alignment horizontal="center" vertical="center"/>
    </xf>
    <xf numFmtId="166" fontId="27" fillId="0" borderId="44" xfId="0" applyNumberFormat="1" applyFont="1" applyBorder="1" applyAlignment="1">
      <alignment horizontal="center" vertical="center"/>
    </xf>
    <xf numFmtId="0" fontId="27" fillId="0" borderId="48" xfId="0" applyFont="1" applyBorder="1" applyAlignment="1">
      <alignment horizontal="center" vertical="center"/>
    </xf>
    <xf numFmtId="0" fontId="27" fillId="0" borderId="49" xfId="0" applyFont="1" applyBorder="1" applyAlignment="1">
      <alignment horizontal="center" vertical="center"/>
    </xf>
    <xf numFmtId="0" fontId="36" fillId="0" borderId="110" xfId="0" applyFont="1" applyBorder="1" applyAlignment="1">
      <alignment horizontal="center" vertical="center" wrapText="1"/>
    </xf>
    <xf numFmtId="166" fontId="36" fillId="0" borderId="48" xfId="0" applyNumberFormat="1" applyFont="1" applyBorder="1" applyAlignment="1">
      <alignment horizontal="center" vertical="center"/>
    </xf>
    <xf numFmtId="0" fontId="24" fillId="0" borderId="16" xfId="0" applyFont="1" applyBorder="1" applyAlignment="1">
      <alignment horizontal="center" vertical="center"/>
    </xf>
    <xf numFmtId="0" fontId="24" fillId="0" borderId="25" xfId="0" applyFont="1" applyBorder="1" applyAlignment="1">
      <alignment horizontal="center" vertical="center"/>
    </xf>
    <xf numFmtId="0" fontId="24" fillId="0" borderId="16" xfId="0" applyFont="1" applyBorder="1" applyAlignment="1">
      <alignment horizontal="center"/>
    </xf>
    <xf numFmtId="0" fontId="24" fillId="0" borderId="17" xfId="0" applyFont="1" applyBorder="1" applyAlignment="1">
      <alignment horizontal="center"/>
    </xf>
    <xf numFmtId="0" fontId="24" fillId="0" borderId="28" xfId="0" applyFont="1" applyBorder="1" applyAlignment="1">
      <alignment horizontal="center"/>
    </xf>
    <xf numFmtId="0" fontId="24" fillId="0" borderId="18" xfId="0" applyFont="1" applyBorder="1" applyAlignment="1">
      <alignment horizontal="center"/>
    </xf>
    <xf numFmtId="0" fontId="24" fillId="0" borderId="32" xfId="0" applyFont="1" applyBorder="1" applyAlignment="1">
      <alignment horizontal="center"/>
    </xf>
    <xf numFmtId="0" fontId="28" fillId="0" borderId="0" xfId="0" applyFont="1" applyAlignment="1">
      <alignment horizontal="center"/>
    </xf>
    <xf numFmtId="0" fontId="0" fillId="39" borderId="12" xfId="0" applyFill="1" applyBorder="1" applyAlignment="1">
      <alignment horizontal="center"/>
    </xf>
    <xf numFmtId="0" fontId="0" fillId="48" borderId="12" xfId="0" applyFill="1" applyBorder="1" applyAlignment="1">
      <alignment horizontal="center"/>
    </xf>
    <xf numFmtId="0" fontId="0" fillId="0" borderId="12" xfId="0" applyBorder="1" applyAlignment="1">
      <alignment horizontal="center" vertical="center"/>
    </xf>
    <xf numFmtId="0" fontId="0" fillId="50" borderId="12" xfId="0" applyFill="1" applyBorder="1" applyAlignment="1">
      <alignment horizontal="center"/>
    </xf>
    <xf numFmtId="0" fontId="1" fillId="0" borderId="12" xfId="0" applyFont="1" applyBorder="1" applyAlignment="1">
      <alignment wrapText="1"/>
    </xf>
  </cellXfs>
  <cellStyles count="45">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Commentaire" xfId="15" builtinId="10" customBuiltin="1"/>
    <cellStyle name="Entrée" xfId="9" builtinId="20" customBuiltin="1"/>
    <cellStyle name="Hyperlink" xfId="44" xr:uid="{00000000-000B-0000-0000-000008000000}"/>
    <cellStyle name="Insatisfaisant" xfId="7" builtinId="27" customBuiltin="1"/>
    <cellStyle name="Monétaire" xfId="42" builtinId="4"/>
    <cellStyle name="Neutre" xfId="8" builtinId="28" customBuiltin="1"/>
    <cellStyle name="Normal" xfId="0" builtinId="0"/>
    <cellStyle name="Pourcentage" xfId="43" builtinId="5"/>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51">
    <dxf>
      <font>
        <color rgb="FF9C0006"/>
      </font>
      <fill>
        <patternFill>
          <bgColor rgb="FFFFC7CE"/>
        </patternFill>
      </fill>
    </dxf>
    <dxf>
      <font>
        <color rgb="FF9C0006"/>
      </font>
      <fill>
        <patternFill>
          <bgColor rgb="FFFFC7CE"/>
        </patternFill>
      </fill>
    </dxf>
    <dxf>
      <font>
        <b/>
        <i val="0"/>
        <color rgb="FF7030A0"/>
      </font>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7030A0"/>
      </font>
      <fill>
        <patternFill>
          <bgColor theme="0" tint="-0.24994659260841701"/>
        </patternFill>
      </fill>
    </dxf>
    <dxf>
      <numFmt numFmtId="165" formatCode="#,##0.000\ &quot;€&quot;"/>
    </dxf>
    <dxf>
      <numFmt numFmtId="165" formatCode="#,##0.000\ &quot;€&quot;"/>
    </dxf>
    <dxf>
      <numFmt numFmtId="165" formatCode="#,##0.000\ &quot;€&quot;"/>
    </dxf>
    <dxf>
      <numFmt numFmtId="165" formatCode="#,##0.000\ &quot;€&quot;"/>
    </dxf>
    <dxf>
      <numFmt numFmtId="165" formatCode="#,##0.000\ &quot;€&quot;"/>
    </dxf>
    <dxf>
      <numFmt numFmtId="165" formatCode="#,##0.000\ &quot;€&quot;"/>
    </dxf>
    <dxf>
      <numFmt numFmtId="165" formatCode="#,##0.000\ &quot;€&quot;"/>
    </dxf>
    <dxf>
      <alignment horizontal="general" vertical="bottom" textRotation="0" wrapText="1" indent="0" justifyLastLine="0" shrinkToFit="0" readingOrder="0"/>
    </dxf>
    <dxf>
      <numFmt numFmtId="166" formatCode="_-* #,##0.00\ [$€-40C]_-;\-* #,##0.00\ [$€-40C]_-;_-* &quot;-&quot;??\ [$€-40C]_-;_-@_-"/>
    </dxf>
    <dxf>
      <numFmt numFmtId="2" formatCode="0.00"/>
    </dxf>
    <dxf>
      <numFmt numFmtId="19" formatCode="dd/mm/yyyy"/>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65" formatCode="#,##0.000\ &quot;€&quot;"/>
    </dxf>
    <dxf>
      <numFmt numFmtId="165" formatCode="#,##0.000\ &quot;€&quot;"/>
    </dxf>
    <dxf>
      <fill>
        <patternFill patternType="solid">
          <fgColor indexed="64"/>
          <bgColor theme="0" tint="-0.249977111117893"/>
        </patternFill>
      </fill>
    </dxf>
    <dxf>
      <fill>
        <patternFill patternType="solid">
          <fgColor indexed="64"/>
          <bgColor theme="0" tint="-0.249977111117893"/>
        </patternFill>
      </fill>
    </dxf>
    <dxf>
      <fill>
        <patternFill patternType="solid">
          <fgColor indexed="64"/>
          <bgColor theme="0" tint="-0.249977111117893"/>
        </patternFill>
      </fill>
    </dxf>
    <dxf>
      <fill>
        <patternFill patternType="solid">
          <fgColor indexed="64"/>
          <bgColor theme="0" tint="-0.249977111117893"/>
        </patternFill>
      </fill>
    </dxf>
    <dxf>
      <fill>
        <patternFill patternType="solid">
          <fgColor indexed="64"/>
          <bgColor theme="0" tint="-0.249977111117893"/>
        </patternFill>
      </fill>
    </dxf>
    <dxf>
      <font>
        <strike val="0"/>
        <outline val="0"/>
        <shadow val="0"/>
        <u val="none"/>
        <vertAlign val="baseline"/>
        <sz val="11"/>
        <color auto="1"/>
        <name val="Calibri"/>
        <family val="2"/>
        <scheme val="minor"/>
      </font>
    </dxf>
    <dxf>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b/>
        <i val="0"/>
        <color rgb="FF7030A0"/>
      </font>
      <fill>
        <patternFill>
          <bgColor theme="0" tint="-0.24994659260841701"/>
        </patternFill>
      </fill>
    </dxf>
    <dxf>
      <font>
        <b/>
        <i val="0"/>
        <color rgb="FFFF0000"/>
      </font>
    </dxf>
    <dxf>
      <font>
        <color auto="1"/>
      </font>
      <fill>
        <patternFill>
          <bgColor theme="7" tint="0.59996337778862885"/>
        </patternFill>
      </fill>
    </dxf>
    <dxf>
      <fill>
        <patternFill>
          <bgColor rgb="FFFF0000"/>
        </patternFill>
      </fill>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7030A0"/>
      </font>
      <fill>
        <patternFill>
          <bgColor theme="0" tint="-0.24994659260841701"/>
        </patternFill>
      </fill>
    </dxf>
  </dxfs>
  <tableStyles count="0" defaultTableStyle="TableStyleMedium2" defaultPivotStyle="PivotStyleLight16"/>
  <colors>
    <mruColors>
      <color rgb="FFFCC400"/>
      <color rgb="FFFFEFB3"/>
      <color rgb="FFF7C1F1"/>
      <color rgb="FF4E9C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Gains VS Objectif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smoothMarker"/>
        <c:varyColors val="0"/>
        <c:ser>
          <c:idx val="0"/>
          <c:order val="0"/>
          <c:tx>
            <c:strRef>
              <c:f>'Compte rendu fin de semaine'!$E$23</c:f>
              <c:strCache>
                <c:ptCount val="1"/>
                <c:pt idx="0">
                  <c:v>Gains cumulés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'Compte rendu fin de semaine'!$D$24:$D$33</c:f>
              <c:numCache>
                <c:formatCode>General</c:formatCode>
                <c:ptCount val="10"/>
                <c:pt idx="0">
                  <c:v>11</c:v>
                </c:pt>
                <c:pt idx="1">
                  <c:v>12</c:v>
                </c:pt>
                <c:pt idx="2">
                  <c:v>13</c:v>
                </c:pt>
                <c:pt idx="3">
                  <c:v>14</c:v>
                </c:pt>
                <c:pt idx="4">
                  <c:v>15</c:v>
                </c:pt>
                <c:pt idx="5">
                  <c:v>16</c:v>
                </c:pt>
                <c:pt idx="6">
                  <c:v>17</c:v>
                </c:pt>
                <c:pt idx="7">
                  <c:v>18</c:v>
                </c:pt>
                <c:pt idx="8">
                  <c:v>19</c:v>
                </c:pt>
                <c:pt idx="9">
                  <c:v>20</c:v>
                </c:pt>
              </c:numCache>
            </c:numRef>
          </c:xVal>
          <c:yVal>
            <c:numRef>
              <c:f>'Compte rendu fin de semaine'!$E$24:$E$33</c:f>
              <c:numCache>
                <c:formatCode>_-* #,##0.00\ [$€-40C]_-;\-* #,##0.00\ [$€-40C]_-;_-* "-"??\ [$€-40C]_-;_-@_-</c:formatCode>
                <c:ptCount val="10"/>
                <c:pt idx="0">
                  <c:v>0</c:v>
                </c:pt>
                <c:pt idx="1">
                  <c:v>1302.2964437689971</c:v>
                </c:pt>
                <c:pt idx="2">
                  <c:v>1524.396443768997</c:v>
                </c:pt>
                <c:pt idx="3">
                  <c:v>1849.4164437689969</c:v>
                </c:pt>
                <c:pt idx="4">
                  <c:v>2150.1664437689969</c:v>
                </c:pt>
                <c:pt idx="5">
                  <c:v>2599.316443768997</c:v>
                </c:pt>
              </c:numCache>
            </c:numRef>
          </c:yVal>
          <c:smooth val="1"/>
          <c:extLst>
            <c:ext xmlns:c16="http://schemas.microsoft.com/office/drawing/2014/chart" uri="{C3380CC4-5D6E-409C-BE32-E72D297353CC}">
              <c16:uniqueId val="{00000000-65C2-41D3-A667-F8385CA7ED72}"/>
            </c:ext>
          </c:extLst>
        </c:ser>
        <c:ser>
          <c:idx val="1"/>
          <c:order val="1"/>
          <c:tx>
            <c:strRef>
              <c:f>'Compte rendu fin de semaine'!$H$23</c:f>
              <c:strCache>
                <c:ptCount val="1"/>
                <c:pt idx="0">
                  <c:v>Objectif gains cumulés semaine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'Compte rendu fin de semaine'!$D$24:$D$33</c:f>
              <c:numCache>
                <c:formatCode>General</c:formatCode>
                <c:ptCount val="10"/>
                <c:pt idx="0">
                  <c:v>11</c:v>
                </c:pt>
                <c:pt idx="1">
                  <c:v>12</c:v>
                </c:pt>
                <c:pt idx="2">
                  <c:v>13</c:v>
                </c:pt>
                <c:pt idx="3">
                  <c:v>14</c:v>
                </c:pt>
                <c:pt idx="4">
                  <c:v>15</c:v>
                </c:pt>
                <c:pt idx="5">
                  <c:v>16</c:v>
                </c:pt>
                <c:pt idx="6">
                  <c:v>17</c:v>
                </c:pt>
                <c:pt idx="7">
                  <c:v>18</c:v>
                </c:pt>
                <c:pt idx="8">
                  <c:v>19</c:v>
                </c:pt>
                <c:pt idx="9">
                  <c:v>20</c:v>
                </c:pt>
              </c:numCache>
            </c:numRef>
          </c:xVal>
          <c:yVal>
            <c:numRef>
              <c:f>'Compte rendu fin de semaine'!$H$24:$H$33</c:f>
              <c:numCache>
                <c:formatCode>_-* #,##0.00\ [$€-40C]_-;\-* #,##0.00\ [$€-40C]_-;_-* "-"??\ [$€-40C]_-;_-@_-</c:formatCode>
                <c:ptCount val="10"/>
                <c:pt idx="0">
                  <c:v>0</c:v>
                </c:pt>
                <c:pt idx="2">
                  <c:v>2854.396443768997</c:v>
                </c:pt>
                <c:pt idx="3">
                  <c:v>2754.4164437689969</c:v>
                </c:pt>
                <c:pt idx="4">
                  <c:v>2780.1664437689969</c:v>
                </c:pt>
                <c:pt idx="5">
                  <c:v>2699.316443768997</c:v>
                </c:pt>
              </c:numCache>
            </c:numRef>
          </c:yVal>
          <c:smooth val="1"/>
          <c:extLst>
            <c:ext xmlns:c16="http://schemas.microsoft.com/office/drawing/2014/chart" uri="{C3380CC4-5D6E-409C-BE32-E72D297353CC}">
              <c16:uniqueId val="{00000001-65C2-41D3-A667-F8385CA7ED72}"/>
            </c:ext>
          </c:extLst>
        </c:ser>
        <c:ser>
          <c:idx val="2"/>
          <c:order val="2"/>
          <c:tx>
            <c:strRef>
              <c:f>'Compte rendu fin de semaine'!$I$23</c:f>
              <c:strCache>
                <c:ptCount val="1"/>
                <c:pt idx="0">
                  <c:v>Objectif total</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'Compte rendu fin de semaine'!$D$24:$D$33</c:f>
              <c:numCache>
                <c:formatCode>General</c:formatCode>
                <c:ptCount val="10"/>
                <c:pt idx="0">
                  <c:v>11</c:v>
                </c:pt>
                <c:pt idx="1">
                  <c:v>12</c:v>
                </c:pt>
                <c:pt idx="2">
                  <c:v>13</c:v>
                </c:pt>
                <c:pt idx="3">
                  <c:v>14</c:v>
                </c:pt>
                <c:pt idx="4">
                  <c:v>15</c:v>
                </c:pt>
                <c:pt idx="5">
                  <c:v>16</c:v>
                </c:pt>
                <c:pt idx="6">
                  <c:v>17</c:v>
                </c:pt>
                <c:pt idx="7">
                  <c:v>18</c:v>
                </c:pt>
                <c:pt idx="8">
                  <c:v>19</c:v>
                </c:pt>
                <c:pt idx="9">
                  <c:v>20</c:v>
                </c:pt>
              </c:numCache>
            </c:numRef>
          </c:xVal>
          <c:yVal>
            <c:numRef>
              <c:f>'Compte rendu fin de semaine'!$I$25:$I$33</c:f>
              <c:numCache>
                <c:formatCode>_-* #,##0.00\ [$€-40C]_-;\-* #,##0.00\ [$€-40C]_-;_-* "-"??\ [$€-40C]_-;_-@_-</c:formatCode>
                <c:ptCount val="9"/>
                <c:pt idx="0">
                  <c:v>4000</c:v>
                </c:pt>
                <c:pt idx="1">
                  <c:v>4000</c:v>
                </c:pt>
                <c:pt idx="2">
                  <c:v>4000</c:v>
                </c:pt>
                <c:pt idx="3">
                  <c:v>4000</c:v>
                </c:pt>
                <c:pt idx="4">
                  <c:v>4000</c:v>
                </c:pt>
                <c:pt idx="5">
                  <c:v>4000</c:v>
                </c:pt>
                <c:pt idx="6">
                  <c:v>4000</c:v>
                </c:pt>
                <c:pt idx="7">
                  <c:v>4000</c:v>
                </c:pt>
                <c:pt idx="8">
                  <c:v>4000</c:v>
                </c:pt>
              </c:numCache>
            </c:numRef>
          </c:yVal>
          <c:smooth val="1"/>
          <c:extLst>
            <c:ext xmlns:c16="http://schemas.microsoft.com/office/drawing/2014/chart" uri="{C3380CC4-5D6E-409C-BE32-E72D297353CC}">
              <c16:uniqueId val="{00000002-65C2-41D3-A667-F8385CA7ED72}"/>
            </c:ext>
          </c:extLst>
        </c:ser>
        <c:ser>
          <c:idx val="3"/>
          <c:order val="3"/>
          <c:tx>
            <c:strRef>
              <c:f>'Compte rendu fin de semaine'!$J$23</c:f>
              <c:strCache>
                <c:ptCount val="1"/>
                <c:pt idx="0">
                  <c:v>Gains obtenables au prochain réappro</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'Compte rendu fin de semaine'!$D$24:$D$33</c:f>
              <c:numCache>
                <c:formatCode>General</c:formatCode>
                <c:ptCount val="10"/>
                <c:pt idx="0">
                  <c:v>11</c:v>
                </c:pt>
                <c:pt idx="1">
                  <c:v>12</c:v>
                </c:pt>
                <c:pt idx="2">
                  <c:v>13</c:v>
                </c:pt>
                <c:pt idx="3">
                  <c:v>14</c:v>
                </c:pt>
                <c:pt idx="4">
                  <c:v>15</c:v>
                </c:pt>
                <c:pt idx="5">
                  <c:v>16</c:v>
                </c:pt>
                <c:pt idx="6">
                  <c:v>17</c:v>
                </c:pt>
                <c:pt idx="7">
                  <c:v>18</c:v>
                </c:pt>
                <c:pt idx="8">
                  <c:v>19</c:v>
                </c:pt>
                <c:pt idx="9">
                  <c:v>20</c:v>
                </c:pt>
              </c:numCache>
            </c:numRef>
          </c:xVal>
          <c:yVal>
            <c:numRef>
              <c:f>'Compte rendu fin de semaine'!$J$24:$J$33</c:f>
              <c:numCache>
                <c:formatCode>_-* #,##0.00\ [$€-40C]_-;\-* #,##0.00\ [$€-40C]_-;_-* "-"??\ [$€-40C]_-;_-@_-</c:formatCode>
                <c:ptCount val="10"/>
                <c:pt idx="0">
                  <c:v>0</c:v>
                </c:pt>
                <c:pt idx="1">
                  <c:v>430.84644376899701</c:v>
                </c:pt>
                <c:pt idx="2">
                  <c:v>680.84644376899701</c:v>
                </c:pt>
                <c:pt idx="3">
                  <c:v>680.84644376899701</c:v>
                </c:pt>
                <c:pt idx="4">
                  <c:v>680.84644376899701</c:v>
                </c:pt>
                <c:pt idx="5">
                  <c:v>680.84644376899701</c:v>
                </c:pt>
              </c:numCache>
            </c:numRef>
          </c:yVal>
          <c:smooth val="1"/>
          <c:extLst>
            <c:ext xmlns:c16="http://schemas.microsoft.com/office/drawing/2014/chart" uri="{C3380CC4-5D6E-409C-BE32-E72D297353CC}">
              <c16:uniqueId val="{00000003-65C2-41D3-A667-F8385CA7ED72}"/>
            </c:ext>
          </c:extLst>
        </c:ser>
        <c:dLbls>
          <c:showLegendKey val="0"/>
          <c:showVal val="0"/>
          <c:showCatName val="0"/>
          <c:showSerName val="0"/>
          <c:showPercent val="0"/>
          <c:showBubbleSize val="0"/>
        </c:dLbls>
        <c:axId val="290731039"/>
        <c:axId val="290731519"/>
      </c:scatterChart>
      <c:valAx>
        <c:axId val="290731039"/>
        <c:scaling>
          <c:orientation val="minMax"/>
          <c:max val="17"/>
          <c:min val="1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0731519"/>
        <c:crosses val="autoZero"/>
        <c:crossBetween val="midCat"/>
      </c:valAx>
      <c:valAx>
        <c:axId val="290731519"/>
        <c:scaling>
          <c:orientation val="minMax"/>
        </c:scaling>
        <c:delete val="0"/>
        <c:axPos val="l"/>
        <c:majorGridlines>
          <c:spPr>
            <a:ln w="9525" cap="flat" cmpd="sng" algn="ctr">
              <a:solidFill>
                <a:schemeClr val="tx1">
                  <a:lumMod val="15000"/>
                  <a:lumOff val="85000"/>
                </a:schemeClr>
              </a:solidFill>
              <a:round/>
            </a:ln>
            <a:effectLst/>
          </c:spPr>
        </c:majorGridlines>
        <c:numFmt formatCode="_-* #,##0.00\ [$€-40C]_-;\-* #,##0.00\ [$€-40C]_-;_-* &quot;-&quot;??\ [$€-40C]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9073103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Gain VS Objectif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Objectif</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'Cost Killing VS Alignement'!$A$2:$A$8</c:f>
              <c:numCache>
                <c:formatCode>General</c:formatCode>
                <c:ptCount val="7"/>
                <c:pt idx="0">
                  <c:v>11</c:v>
                </c:pt>
                <c:pt idx="1">
                  <c:v>12</c:v>
                </c:pt>
                <c:pt idx="2">
                  <c:v>13</c:v>
                </c:pt>
                <c:pt idx="3">
                  <c:v>14</c:v>
                </c:pt>
                <c:pt idx="4">
                  <c:v>15</c:v>
                </c:pt>
                <c:pt idx="5">
                  <c:v>16</c:v>
                </c:pt>
                <c:pt idx="6">
                  <c:v>17</c:v>
                </c:pt>
              </c:numCache>
            </c:numRef>
          </c:xVal>
          <c:yVal>
            <c:numRef>
              <c:f>'Cost Killing VS Alignement'!$B$2:$B$8</c:f>
              <c:numCache>
                <c:formatCode>_-* #,##0.00\ [$€-40C]_-;\-* #,##0.00\ [$€-40C]_-;_-* "-"??\ [$€-40C]_-;_-@_-</c:formatCode>
                <c:ptCount val="7"/>
                <c:pt idx="0">
                  <c:v>4000</c:v>
                </c:pt>
                <c:pt idx="1">
                  <c:v>4000</c:v>
                </c:pt>
                <c:pt idx="2">
                  <c:v>4000</c:v>
                </c:pt>
                <c:pt idx="3">
                  <c:v>4000</c:v>
                </c:pt>
                <c:pt idx="4">
                  <c:v>4000</c:v>
                </c:pt>
                <c:pt idx="5">
                  <c:v>4000</c:v>
                </c:pt>
                <c:pt idx="6">
                  <c:v>2969.3551000000043</c:v>
                </c:pt>
              </c:numCache>
            </c:numRef>
          </c:yVal>
          <c:smooth val="1"/>
          <c:extLst>
            <c:ext xmlns:c16="http://schemas.microsoft.com/office/drawing/2014/chart" uri="{C3380CC4-5D6E-409C-BE32-E72D297353CC}">
              <c16:uniqueId val="{00000001-0A45-4DC1-97A0-0A730AE7956C}"/>
            </c:ext>
          </c:extLst>
        </c:ser>
        <c:ser>
          <c:idx val="1"/>
          <c:order val="1"/>
          <c:tx>
            <c:v>Objectif semaine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'Cost Killing VS Alignement'!$A$2:$A$8</c:f>
              <c:numCache>
                <c:formatCode>General</c:formatCode>
                <c:ptCount val="7"/>
                <c:pt idx="0">
                  <c:v>11</c:v>
                </c:pt>
                <c:pt idx="1">
                  <c:v>12</c:v>
                </c:pt>
                <c:pt idx="2">
                  <c:v>13</c:v>
                </c:pt>
                <c:pt idx="3">
                  <c:v>14</c:v>
                </c:pt>
                <c:pt idx="4">
                  <c:v>15</c:v>
                </c:pt>
                <c:pt idx="5">
                  <c:v>16</c:v>
                </c:pt>
                <c:pt idx="6">
                  <c:v>17</c:v>
                </c:pt>
              </c:numCache>
            </c:numRef>
          </c:xVal>
          <c:yVal>
            <c:numRef>
              <c:f>'Cost Killing VS Alignement'!$D$2:$D$8</c:f>
              <c:numCache>
                <c:formatCode>_-* #,##0.00\ [$€-40C]_-;\-* #,##0.00\ [$€-40C]_-;_-* "-"??\ [$€-40C]_-;_-@_-</c:formatCode>
                <c:ptCount val="7"/>
                <c:pt idx="1">
                  <c:v>4000</c:v>
                </c:pt>
                <c:pt idx="2">
                  <c:v>850</c:v>
                </c:pt>
                <c:pt idx="3">
                  <c:v>905</c:v>
                </c:pt>
                <c:pt idx="4">
                  <c:v>480</c:v>
                </c:pt>
                <c:pt idx="5">
                  <c:v>205</c:v>
                </c:pt>
                <c:pt idx="6">
                  <c:v>205</c:v>
                </c:pt>
              </c:numCache>
            </c:numRef>
          </c:yVal>
          <c:smooth val="1"/>
          <c:extLst>
            <c:ext xmlns:c16="http://schemas.microsoft.com/office/drawing/2014/chart" uri="{C3380CC4-5D6E-409C-BE32-E72D297353CC}">
              <c16:uniqueId val="{00000003-0A45-4DC1-97A0-0A730AE7956C}"/>
            </c:ext>
          </c:extLst>
        </c:ser>
        <c:ser>
          <c:idx val="2"/>
          <c:order val="2"/>
          <c:tx>
            <c:v>Gain objectif semaine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'Cost Killing VS Alignement'!$A$2:$A$8</c:f>
              <c:numCache>
                <c:formatCode>General</c:formatCode>
                <c:ptCount val="7"/>
                <c:pt idx="0">
                  <c:v>11</c:v>
                </c:pt>
                <c:pt idx="1">
                  <c:v>12</c:v>
                </c:pt>
                <c:pt idx="2">
                  <c:v>13</c:v>
                </c:pt>
                <c:pt idx="3">
                  <c:v>14</c:v>
                </c:pt>
                <c:pt idx="4">
                  <c:v>15</c:v>
                </c:pt>
                <c:pt idx="5">
                  <c:v>16</c:v>
                </c:pt>
                <c:pt idx="6">
                  <c:v>17</c:v>
                </c:pt>
              </c:numCache>
            </c:numRef>
          </c:xVal>
          <c:yVal>
            <c:numRef>
              <c:f>'Cost Killing VS Alignement'!$E$2:$E$8</c:f>
              <c:numCache>
                <c:formatCode>_-* #,##0.00\ [$€-40C]_-;\-* #,##0.00\ [$€-40C]_-;_-* "-"??\ [$€-40C]_-;_-@_-</c:formatCode>
                <c:ptCount val="7"/>
                <c:pt idx="2">
                  <c:v>2374.396443768997</c:v>
                </c:pt>
                <c:pt idx="3">
                  <c:v>2754.4164437689969</c:v>
                </c:pt>
                <c:pt idx="4">
                  <c:v>2630.1664437689969</c:v>
                </c:pt>
                <c:pt idx="5">
                  <c:v>2355.1664437689969</c:v>
                </c:pt>
              </c:numCache>
            </c:numRef>
          </c:yVal>
          <c:smooth val="1"/>
          <c:extLst>
            <c:ext xmlns:c16="http://schemas.microsoft.com/office/drawing/2014/chart" uri="{C3380CC4-5D6E-409C-BE32-E72D297353CC}">
              <c16:uniqueId val="{00000005-0A45-4DC1-97A0-0A730AE7956C}"/>
            </c:ext>
          </c:extLst>
        </c:ser>
        <c:ser>
          <c:idx val="3"/>
          <c:order val="3"/>
          <c:tx>
            <c:v>Gain cumulé</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'Cost Killing VS Alignement'!$A$2:$A$8</c:f>
              <c:numCache>
                <c:formatCode>General</c:formatCode>
                <c:ptCount val="7"/>
                <c:pt idx="0">
                  <c:v>11</c:v>
                </c:pt>
                <c:pt idx="1">
                  <c:v>12</c:v>
                </c:pt>
                <c:pt idx="2">
                  <c:v>13</c:v>
                </c:pt>
                <c:pt idx="3">
                  <c:v>14</c:v>
                </c:pt>
                <c:pt idx="4">
                  <c:v>15</c:v>
                </c:pt>
                <c:pt idx="5">
                  <c:v>16</c:v>
                </c:pt>
                <c:pt idx="6">
                  <c:v>17</c:v>
                </c:pt>
              </c:numCache>
            </c:numRef>
          </c:xVal>
          <c:yVal>
            <c:numRef>
              <c:f>'Cost Killing VS Alignement'!$G$2:$G$8</c:f>
              <c:numCache>
                <c:formatCode>_-* #,##0.00\ [$€-40C]_-;\-* #,##0.00\ [$€-40C]_-;_-* "-"??\ [$€-40C]_-;_-@_-</c:formatCode>
                <c:ptCount val="7"/>
                <c:pt idx="0">
                  <c:v>0</c:v>
                </c:pt>
                <c:pt idx="1">
                  <c:v>1302.2964437689971</c:v>
                </c:pt>
                <c:pt idx="2">
                  <c:v>1524.396443768997</c:v>
                </c:pt>
                <c:pt idx="3">
                  <c:v>1849.4164437689969</c:v>
                </c:pt>
                <c:pt idx="4">
                  <c:v>2150.1664437689969</c:v>
                </c:pt>
                <c:pt idx="5">
                  <c:v>2150.1664437689969</c:v>
                </c:pt>
              </c:numCache>
            </c:numRef>
          </c:yVal>
          <c:smooth val="1"/>
          <c:extLst>
            <c:ext xmlns:c16="http://schemas.microsoft.com/office/drawing/2014/chart" uri="{C3380CC4-5D6E-409C-BE32-E72D297353CC}">
              <c16:uniqueId val="{00000007-0A45-4DC1-97A0-0A730AE7956C}"/>
            </c:ext>
          </c:extLst>
        </c:ser>
        <c:dLbls>
          <c:showLegendKey val="0"/>
          <c:showVal val="0"/>
          <c:showCatName val="0"/>
          <c:showSerName val="0"/>
          <c:showPercent val="0"/>
          <c:showBubbleSize val="0"/>
        </c:dLbls>
        <c:axId val="2090434055"/>
        <c:axId val="2090464775"/>
      </c:scatterChart>
      <c:valAx>
        <c:axId val="2090434055"/>
        <c:scaling>
          <c:orientation val="minMax"/>
          <c:min val="1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464775"/>
        <c:crosses val="autoZero"/>
        <c:crossBetween val="midCat"/>
      </c:valAx>
      <c:valAx>
        <c:axId val="2090464775"/>
        <c:scaling>
          <c:orientation val="minMax"/>
        </c:scaling>
        <c:delete val="0"/>
        <c:axPos val="l"/>
        <c:majorGridlines>
          <c:spPr>
            <a:ln w="9525" cap="flat" cmpd="sng" algn="ctr">
              <a:solidFill>
                <a:schemeClr val="tx1">
                  <a:lumMod val="15000"/>
                  <a:lumOff val="85000"/>
                </a:schemeClr>
              </a:solidFill>
              <a:round/>
            </a:ln>
            <a:effectLst/>
          </c:spPr>
        </c:majorGridlines>
        <c:numFmt formatCode="_-* #,##0.00\ [$€-40C]_-;\-* #,##0.00\ [$€-40C]_-;_-* &quot;-&quot;??\ [$€-40C]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4340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Evolution PR par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PR Objectif</c:v>
          </c:tx>
          <c:spPr>
            <a:ln w="19050" cap="rnd">
              <a:solidFill>
                <a:srgbClr val="7030A0"/>
              </a:solidFill>
              <a:prstDash val="solid"/>
              <a:round/>
            </a:ln>
            <a:effectLst/>
          </c:spPr>
          <c:marker>
            <c:symbol val="circle"/>
            <c:size val="5"/>
            <c:spPr>
              <a:solidFill>
                <a:srgbClr val="7030A0"/>
              </a:solidFill>
              <a:ln w="9525">
                <a:solidFill>
                  <a:srgbClr val="FFFFFF"/>
                </a:solidFill>
                <a:prstDash val="solid"/>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Alignement'!$C$2:$C$7</c:f>
              <c:numCache>
                <c:formatCode>_-* #,##0.00\ [$€-40C]_-;\-* #,##0.00\ [$€-40C]_-;_-* "-"??\ [$€-40C]_-;_-@_-</c:formatCode>
                <c:ptCount val="6"/>
                <c:pt idx="0">
                  <c:v>4877.1399999999994</c:v>
                </c:pt>
                <c:pt idx="1">
                  <c:v>4877.1399999999994</c:v>
                </c:pt>
                <c:pt idx="2">
                  <c:v>4877.1399999999994</c:v>
                </c:pt>
                <c:pt idx="3">
                  <c:v>4877.1399999999994</c:v>
                </c:pt>
                <c:pt idx="4">
                  <c:v>4877.1399999999994</c:v>
                </c:pt>
                <c:pt idx="5">
                  <c:v>4877.1399999999994</c:v>
                </c:pt>
              </c:numCache>
            </c:numRef>
          </c:yVal>
          <c:smooth val="1"/>
          <c:extLst>
            <c:ext xmlns:c16="http://schemas.microsoft.com/office/drawing/2014/chart" uri="{C3380CC4-5D6E-409C-BE32-E72D297353CC}">
              <c16:uniqueId val="{00000006-FA77-4FDA-B74F-10144A4140B5}"/>
            </c:ext>
          </c:extLst>
        </c:ser>
        <c:ser>
          <c:idx val="1"/>
          <c:order val="1"/>
          <c:tx>
            <c:v>Gain obtenu</c:v>
          </c:tx>
          <c:spPr>
            <a:ln w="19050" cap="rnd">
              <a:solidFill>
                <a:schemeClr val="accent2"/>
              </a:solidFill>
              <a:round/>
            </a:ln>
            <a:effectLst/>
          </c:spPr>
          <c:marker>
            <c:symbol val="circle"/>
            <c:size val="5"/>
            <c:spPr>
              <a:solidFill>
                <a:schemeClr val="accent2"/>
              </a:solidFill>
              <a:ln w="9525">
                <a:solidFill>
                  <a:srgbClr val="FFFFFF"/>
                </a:solidFill>
                <a:prstDash val="solid"/>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Alignement'!$F$2:$F$7</c:f>
              <c:numCache>
                <c:formatCode>_-* #,##0.00\ [$€-40C]_-;\-* #,##0.00\ [$€-40C]_-;_-* "-"??\ [$€-40C]_-;_-@_-</c:formatCode>
                <c:ptCount val="6"/>
                <c:pt idx="1">
                  <c:v>1302.2964437689971</c:v>
                </c:pt>
                <c:pt idx="2">
                  <c:v>222.09999999999997</c:v>
                </c:pt>
                <c:pt idx="3">
                  <c:v>325.02</c:v>
                </c:pt>
                <c:pt idx="4">
                  <c:v>300.74999999999994</c:v>
                </c:pt>
                <c:pt idx="5">
                  <c:v>0</c:v>
                </c:pt>
              </c:numCache>
            </c:numRef>
          </c:yVal>
          <c:smooth val="1"/>
          <c:extLst>
            <c:ext xmlns:c16="http://schemas.microsoft.com/office/drawing/2014/chart" uri="{C3380CC4-5D6E-409C-BE32-E72D297353CC}">
              <c16:uniqueId val="{00000008-FA77-4FDA-B74F-10144A4140B5}"/>
            </c:ext>
          </c:extLst>
        </c:ser>
        <c:ser>
          <c:idx val="2"/>
          <c:order val="2"/>
          <c:tx>
            <c:v>Prix Revient</c:v>
          </c:tx>
          <c:spPr>
            <a:ln w="19050" cap="rnd">
              <a:solidFill>
                <a:srgbClr val="70AD47"/>
              </a:solidFill>
              <a:prstDash val="solid"/>
              <a:round/>
            </a:ln>
            <a:effectLst/>
          </c:spPr>
          <c:marker>
            <c:symbol val="circle"/>
            <c:size val="5"/>
            <c:spPr>
              <a:solidFill>
                <a:srgbClr val="70AD47"/>
              </a:solidFill>
              <a:ln w="9525">
                <a:solidFill>
                  <a:srgbClr val="FFFFFF"/>
                </a:solidFill>
                <a:prstDash val="solid"/>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Alignement'!$H$2:$H$7</c:f>
              <c:numCache>
                <c:formatCode>_-* #,##0.00\ [$€-40C]_-;\-* #,##0.00\ [$€-40C]_-;_-* "-"??\ [$€-40C]_-;_-@_-</c:formatCode>
                <c:ptCount val="6"/>
                <c:pt idx="0">
                  <c:v>8877.14</c:v>
                </c:pt>
                <c:pt idx="1">
                  <c:v>7574.8435562310024</c:v>
                </c:pt>
                <c:pt idx="2">
                  <c:v>7352.743556231002</c:v>
                </c:pt>
                <c:pt idx="3">
                  <c:v>7027.7235562310025</c:v>
                </c:pt>
                <c:pt idx="4">
                  <c:v>6726.9735562310025</c:v>
                </c:pt>
                <c:pt idx="5">
                  <c:v>6726.9735562310025</c:v>
                </c:pt>
              </c:numCache>
            </c:numRef>
          </c:yVal>
          <c:smooth val="1"/>
          <c:extLst>
            <c:ext xmlns:c16="http://schemas.microsoft.com/office/drawing/2014/chart" uri="{C3380CC4-5D6E-409C-BE32-E72D297353CC}">
              <c16:uniqueId val="{0000000A-FA77-4FDA-B74F-10144A4140B5}"/>
            </c:ext>
          </c:extLst>
        </c:ser>
        <c:ser>
          <c:idx val="3"/>
          <c:order val="3"/>
          <c:tx>
            <c:strRef>
              <c:f>'Cost Killing VS Alignement'!$D$1</c:f>
              <c:strCache>
                <c:ptCount val="1"/>
                <c:pt idx="0">
                  <c:v>Objectif semaine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Alignement'!$D$2:$D$7</c:f>
              <c:numCache>
                <c:formatCode>_-* #,##0.00\ [$€-40C]_-;\-* #,##0.00\ [$€-40C]_-;_-* "-"??\ [$€-40C]_-;_-@_-</c:formatCode>
                <c:ptCount val="6"/>
                <c:pt idx="1">
                  <c:v>4000</c:v>
                </c:pt>
                <c:pt idx="2">
                  <c:v>850</c:v>
                </c:pt>
                <c:pt idx="3">
                  <c:v>905</c:v>
                </c:pt>
                <c:pt idx="4">
                  <c:v>480</c:v>
                </c:pt>
                <c:pt idx="5">
                  <c:v>205</c:v>
                </c:pt>
              </c:numCache>
            </c:numRef>
          </c:yVal>
          <c:smooth val="1"/>
          <c:extLst>
            <c:ext xmlns:c16="http://schemas.microsoft.com/office/drawing/2014/chart" uri="{C3380CC4-5D6E-409C-BE32-E72D297353CC}">
              <c16:uniqueId val="{00000000-5DF4-47FD-915E-0D5F4D3DB769}"/>
            </c:ext>
          </c:extLst>
        </c:ser>
        <c:ser>
          <c:idx val="4"/>
          <c:order val="4"/>
          <c:tx>
            <c:strRef>
              <c:f>'Cost Killing VS Alignement'!$I$1</c:f>
              <c:strCache>
                <c:ptCount val="1"/>
                <c:pt idx="0">
                  <c:v>PR alignement</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Alignement'!$I$2:$I$7</c:f>
              <c:numCache>
                <c:formatCode>_-* #,##0.00\ [$€-40C]_-;\-* #,##0.00\ [$€-40C]_-;_-* "-"??\ [$€-40C]_-;_-@_-</c:formatCode>
                <c:ptCount val="6"/>
                <c:pt idx="0">
                  <c:v>8877.14</c:v>
                </c:pt>
                <c:pt idx="1">
                  <c:v>7407.9199999999992</c:v>
                </c:pt>
                <c:pt idx="2">
                  <c:v>7407.9199999999992</c:v>
                </c:pt>
                <c:pt idx="3">
                  <c:v>7217.9199999999992</c:v>
                </c:pt>
                <c:pt idx="4">
                  <c:v>7217.9199999999992</c:v>
                </c:pt>
                <c:pt idx="5">
                  <c:v>7217.9199999999992</c:v>
                </c:pt>
              </c:numCache>
            </c:numRef>
          </c:yVal>
          <c:smooth val="1"/>
          <c:extLst>
            <c:ext xmlns:c16="http://schemas.microsoft.com/office/drawing/2014/chart" uri="{C3380CC4-5D6E-409C-BE32-E72D297353CC}">
              <c16:uniqueId val="{00000001-5DF4-47FD-915E-0D5F4D3DB769}"/>
            </c:ext>
          </c:extLst>
        </c:ser>
        <c:ser>
          <c:idx val="5"/>
          <c:order val="5"/>
          <c:tx>
            <c:strRef>
              <c:f>'Cost Killing VS Alignement'!$J$1</c:f>
              <c:strCache>
                <c:ptCount val="1"/>
                <c:pt idx="0">
                  <c:v>PR Cost killing</c:v>
                </c:pt>
              </c:strCache>
            </c:strRef>
          </c:tx>
          <c:spPr>
            <a:ln w="19050" cap="rnd">
              <a:solidFill>
                <a:srgbClr val="FF0000"/>
              </a:solidFill>
              <a:prstDash val="solid"/>
              <a:round/>
            </a:ln>
            <a:effectLst/>
          </c:spPr>
          <c:marker>
            <c:symbol val="circle"/>
            <c:size val="5"/>
            <c:spPr>
              <a:solidFill>
                <a:srgbClr val="FF0000"/>
              </a:solidFill>
              <a:ln w="25400">
                <a:noFill/>
              </a:ln>
              <a:effectLst/>
            </c:spPr>
          </c:marker>
          <c:xVal>
            <c:numRef>
              <c:f>'Cost Killing VS Alignement'!$A$2:$A$7</c:f>
              <c:numCache>
                <c:formatCode>General</c:formatCode>
                <c:ptCount val="6"/>
                <c:pt idx="0">
                  <c:v>11</c:v>
                </c:pt>
                <c:pt idx="1">
                  <c:v>12</c:v>
                </c:pt>
                <c:pt idx="2">
                  <c:v>13</c:v>
                </c:pt>
                <c:pt idx="3">
                  <c:v>14</c:v>
                </c:pt>
                <c:pt idx="4">
                  <c:v>15</c:v>
                </c:pt>
                <c:pt idx="5">
                  <c:v>16</c:v>
                </c:pt>
              </c:numCache>
            </c:numRef>
          </c:xVal>
          <c:yVal>
            <c:numRef>
              <c:f>'Cost Killing VS Alignement'!$J$2:$J$7</c:f>
              <c:numCache>
                <c:formatCode>_-* #,##0.00\ [$€-40C]_-;\-* #,##0.00\ [$€-40C]_-;_-* "-"??\ [$€-40C]_-;_-@_-</c:formatCode>
                <c:ptCount val="6"/>
                <c:pt idx="0">
                  <c:v>8877.14</c:v>
                </c:pt>
                <c:pt idx="1">
                  <c:v>9044.0635562310017</c:v>
                </c:pt>
                <c:pt idx="2">
                  <c:v>8821.9635562310013</c:v>
                </c:pt>
                <c:pt idx="3">
                  <c:v>8686.9435562310009</c:v>
                </c:pt>
                <c:pt idx="4">
                  <c:v>8386.1935562310009</c:v>
                </c:pt>
                <c:pt idx="5">
                  <c:v>8386.1935562310009</c:v>
                </c:pt>
              </c:numCache>
            </c:numRef>
          </c:yVal>
          <c:smooth val="1"/>
          <c:extLst>
            <c:ext xmlns:c16="http://schemas.microsoft.com/office/drawing/2014/chart" uri="{C3380CC4-5D6E-409C-BE32-E72D297353CC}">
              <c16:uniqueId val="{00000002-5DF4-47FD-915E-0D5F4D3DB769}"/>
            </c:ext>
          </c:extLst>
        </c:ser>
        <c:dLbls>
          <c:showLegendKey val="0"/>
          <c:showVal val="0"/>
          <c:showCatName val="0"/>
          <c:showSerName val="0"/>
          <c:showPercent val="0"/>
          <c:showBubbleSize val="0"/>
        </c:dLbls>
        <c:axId val="456411655"/>
        <c:axId val="456749575"/>
      </c:scatterChart>
      <c:valAx>
        <c:axId val="456411655"/>
        <c:scaling>
          <c:orientation val="minMax"/>
          <c:max val="17"/>
          <c:min val="1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749575"/>
        <c:crosses val="autoZero"/>
        <c:crossBetween val="midCat"/>
      </c:valAx>
      <c:valAx>
        <c:axId val="456749575"/>
        <c:scaling>
          <c:orientation val="minMax"/>
        </c:scaling>
        <c:delete val="0"/>
        <c:axPos val="l"/>
        <c:majorGridlines>
          <c:spPr>
            <a:ln w="9525" cap="flat" cmpd="sng" algn="ctr">
              <a:solidFill>
                <a:schemeClr val="tx1">
                  <a:lumMod val="15000"/>
                  <a:lumOff val="85000"/>
                </a:schemeClr>
              </a:solidFill>
              <a:round/>
            </a:ln>
            <a:effectLst/>
          </c:spPr>
        </c:majorGridlines>
        <c:numFmt formatCode="_-* #,##0.00\ [$€-40C]_-;\-* #,##0.00\ [$€-40C]_-;_-* &quot;-&quot;??\ [$€-40C]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4116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152400</xdr:rowOff>
        </xdr:from>
        <xdr:to>
          <xdr:col>1</xdr:col>
          <xdr:colOff>1790700</xdr:colOff>
          <xdr:row>0</xdr:row>
          <xdr:rowOff>723900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Machine 220V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2095500</xdr:colOff>
          <xdr:row>0</xdr:row>
          <xdr:rowOff>152400</xdr:rowOff>
        </xdr:from>
        <xdr:to>
          <xdr:col>2</xdr:col>
          <xdr:colOff>304800</xdr:colOff>
          <xdr:row>0</xdr:row>
          <xdr:rowOff>723900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Machine 110V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1104900</xdr:colOff>
          <xdr:row>0</xdr:row>
          <xdr:rowOff>190500</xdr:rowOff>
        </xdr:from>
        <xdr:to>
          <xdr:col>2</xdr:col>
          <xdr:colOff>2438400</xdr:colOff>
          <xdr:row>0</xdr:row>
          <xdr:rowOff>571500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Mobilité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2628900</xdr:colOff>
          <xdr:row>0</xdr:row>
          <xdr:rowOff>190500</xdr:rowOff>
        </xdr:from>
        <xdr:to>
          <xdr:col>3</xdr:col>
          <xdr:colOff>533400</xdr:colOff>
          <xdr:row>0</xdr:row>
          <xdr:rowOff>571500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Coupe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0</xdr:row>
          <xdr:rowOff>190500</xdr:rowOff>
        </xdr:from>
        <xdr:to>
          <xdr:col>4</xdr:col>
          <xdr:colOff>571500</xdr:colOff>
          <xdr:row>0</xdr:row>
          <xdr:rowOff>571500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Codeur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1676400</xdr:colOff>
      <xdr:row>22</xdr:row>
      <xdr:rowOff>66674</xdr:rowOff>
    </xdr:from>
    <xdr:to>
      <xdr:col>12</xdr:col>
      <xdr:colOff>433387</xdr:colOff>
      <xdr:row>45</xdr:row>
      <xdr:rowOff>19049</xdr:rowOff>
    </xdr:to>
    <xdr:graphicFrame macro="">
      <xdr:nvGraphicFramePr>
        <xdr:cNvPr id="2" name="Graphique 1">
          <a:extLst>
            <a:ext uri="{FF2B5EF4-FFF2-40B4-BE49-F238E27FC236}">
              <a16:creationId xmlns:a16="http://schemas.microsoft.com/office/drawing/2014/main" id="{61CCEF60-7F4A-C9B9-E398-A6BCC9373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342900</xdr:colOff>
      <xdr:row>8</xdr:row>
      <xdr:rowOff>104775</xdr:rowOff>
    </xdr:from>
    <xdr:to>
      <xdr:col>23</xdr:col>
      <xdr:colOff>38100</xdr:colOff>
      <xdr:row>22</xdr:row>
      <xdr:rowOff>180975</xdr:rowOff>
    </xdr:to>
    <xdr:graphicFrame macro="">
      <xdr:nvGraphicFramePr>
        <xdr:cNvPr id="4" name="Graphique 1">
          <a:extLst>
            <a:ext uri="{FF2B5EF4-FFF2-40B4-BE49-F238E27FC236}">
              <a16:creationId xmlns:a16="http://schemas.microsoft.com/office/drawing/2014/main" id="{CB293C9B-5812-28F8-A9D1-4CB3FA6268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352425</xdr:colOff>
      <xdr:row>11</xdr:row>
      <xdr:rowOff>57150</xdr:rowOff>
    </xdr:from>
    <xdr:to>
      <xdr:col>14</xdr:col>
      <xdr:colOff>19050</xdr:colOff>
      <xdr:row>30</xdr:row>
      <xdr:rowOff>152400</xdr:rowOff>
    </xdr:to>
    <xdr:graphicFrame macro="">
      <xdr:nvGraphicFramePr>
        <xdr:cNvPr id="9" name="Graphique 2">
          <a:extLst>
            <a:ext uri="{FF2B5EF4-FFF2-40B4-BE49-F238E27FC236}">
              <a16:creationId xmlns:a16="http://schemas.microsoft.com/office/drawing/2014/main" id="{93B433F6-0B79-10C6-6776-53929CD25AB8}"/>
            </a:ext>
            <a:ext uri="{147F2762-F138-4A5C-976F-8EAC2B608ADB}">
              <a16:predDERef xmlns:a16="http://schemas.microsoft.com/office/drawing/2014/main" pred="{CB293C9B-5812-28F8-A9D1-4CB3FA6268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3</xdr:col>
      <xdr:colOff>647700</xdr:colOff>
      <xdr:row>37</xdr:row>
      <xdr:rowOff>95250</xdr:rowOff>
    </xdr:to>
    <xdr:pic>
      <xdr:nvPicPr>
        <xdr:cNvPr id="2" name="Image 1">
          <a:extLst>
            <a:ext uri="{FF2B5EF4-FFF2-40B4-BE49-F238E27FC236}">
              <a16:creationId xmlns:a16="http://schemas.microsoft.com/office/drawing/2014/main" id="{FDFA93C3-7036-6A17-B89A-F652A1F555A7}"/>
            </a:ext>
          </a:extLst>
        </xdr:cNvPr>
        <xdr:cNvPicPr>
          <a:picLocks noChangeAspect="1"/>
        </xdr:cNvPicPr>
      </xdr:nvPicPr>
      <xdr:blipFill>
        <a:blip xmlns:r="http://schemas.openxmlformats.org/officeDocument/2006/relationships" r:embed="rId1"/>
        <a:stretch>
          <a:fillRect/>
        </a:stretch>
      </xdr:blipFill>
      <xdr:spPr>
        <a:xfrm>
          <a:off x="0" y="5210175"/>
          <a:ext cx="4572000" cy="2952750"/>
        </a:xfrm>
        <a:prstGeom prst="rect">
          <a:avLst/>
        </a:prstGeom>
      </xdr:spPr>
    </xdr:pic>
    <xdr:clientData/>
  </xdr:twoCellAnchor>
  <xdr:twoCellAnchor editAs="oneCell">
    <xdr:from>
      <xdr:col>0</xdr:col>
      <xdr:colOff>0</xdr:colOff>
      <xdr:row>22</xdr:row>
      <xdr:rowOff>0</xdr:rowOff>
    </xdr:from>
    <xdr:to>
      <xdr:col>3</xdr:col>
      <xdr:colOff>647700</xdr:colOff>
      <xdr:row>37</xdr:row>
      <xdr:rowOff>95250</xdr:rowOff>
    </xdr:to>
    <xdr:pic>
      <xdr:nvPicPr>
        <xdr:cNvPr id="3" name="Image 2">
          <a:extLst>
            <a:ext uri="{FF2B5EF4-FFF2-40B4-BE49-F238E27FC236}">
              <a16:creationId xmlns:a16="http://schemas.microsoft.com/office/drawing/2014/main" id="{CE537BE4-39C0-8AA5-B154-32BE4559D920}"/>
            </a:ext>
            <a:ext uri="{147F2762-F138-4A5C-976F-8EAC2B608ADB}">
              <a16:predDERef xmlns:a16="http://schemas.microsoft.com/office/drawing/2014/main" pred="{FDFA93C3-7036-6A17-B89A-F652A1F555A7}"/>
            </a:ext>
          </a:extLst>
        </xdr:cNvPr>
        <xdr:cNvPicPr>
          <a:picLocks noChangeAspect="1"/>
        </xdr:cNvPicPr>
      </xdr:nvPicPr>
      <xdr:blipFill>
        <a:blip xmlns:r="http://schemas.openxmlformats.org/officeDocument/2006/relationships" r:embed="rId1"/>
        <a:stretch>
          <a:fillRect/>
        </a:stretch>
      </xdr:blipFill>
      <xdr:spPr>
        <a:xfrm>
          <a:off x="0" y="5210175"/>
          <a:ext cx="4572000" cy="2952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4</xdr:row>
      <xdr:rowOff>381000</xdr:rowOff>
    </xdr:from>
    <xdr:to>
      <xdr:col>16</xdr:col>
      <xdr:colOff>180975</xdr:colOff>
      <xdr:row>9</xdr:row>
      <xdr:rowOff>238125</xdr:rowOff>
    </xdr:to>
    <xdr:sp macro="" textlink="">
      <xdr:nvSpPr>
        <xdr:cNvPr id="2" name="ZoneTexte 1">
          <a:extLst>
            <a:ext uri="{FF2B5EF4-FFF2-40B4-BE49-F238E27FC236}">
              <a16:creationId xmlns:a16="http://schemas.microsoft.com/office/drawing/2014/main" id="{73FABBC5-7B94-B515-701B-8000AE336B75}"/>
            </a:ext>
          </a:extLst>
        </xdr:cNvPr>
        <xdr:cNvSpPr txBox="1"/>
      </xdr:nvSpPr>
      <xdr:spPr>
        <a:xfrm>
          <a:off x="15449550" y="1524000"/>
          <a:ext cx="4200525" cy="2905125"/>
        </a:xfrm>
        <a:prstGeom prst="rect">
          <a:avLst/>
        </a:prstGeom>
        <a:solidFill>
          <a:schemeClr val="lt1"/>
        </a:solid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Commentaire ASM2 du 19/03/2025:</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le cout de la matière a chuté entre début 2024 et maintenant, environs -10% sur l'acier . Alu reste stable. </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soit pour un galet acier 086491_00001 en 42CD4 à 33€</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30€ juste grace à la baisse du cout de la matière</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29€ si retrait du post oxydation</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28€ si passage en MOQ de 30</a:t>
          </a:r>
        </a:p>
        <a:p>
          <a:pPr marL="0" indent="0" algn="l"/>
          <a:endPar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changement de matière sur les axes et usinage localisé:</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gain de 0.20€ si passage en C35</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gain de 0.20€ sur l'usinage localisé</a:t>
          </a:r>
        </a:p>
        <a:p>
          <a:pPr marL="0" indent="0" algn="l"/>
          <a:endPar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a:p>
          <a:pPr marL="0" indent="0" algn="l"/>
          <a:endPar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1428750</xdr:colOff>
      <xdr:row>17</xdr:row>
      <xdr:rowOff>171450</xdr:rowOff>
    </xdr:from>
    <xdr:to>
      <xdr:col>6</xdr:col>
      <xdr:colOff>485775</xdr:colOff>
      <xdr:row>22</xdr:row>
      <xdr:rowOff>28575</xdr:rowOff>
    </xdr:to>
    <xdr:sp macro="" textlink="">
      <xdr:nvSpPr>
        <xdr:cNvPr id="2" name="ZoneTexte 1">
          <a:extLst>
            <a:ext uri="{FF2B5EF4-FFF2-40B4-BE49-F238E27FC236}">
              <a16:creationId xmlns:a16="http://schemas.microsoft.com/office/drawing/2014/main" id="{116DDE2D-185B-B471-4B7F-6A7608D5D4E5}"/>
            </a:ext>
          </a:extLst>
        </xdr:cNvPr>
        <xdr:cNvSpPr txBox="1"/>
      </xdr:nvSpPr>
      <xdr:spPr>
        <a:xfrm>
          <a:off x="8839200" y="5534025"/>
          <a:ext cx="3648075" cy="809625"/>
        </a:xfrm>
        <a:prstGeom prst="rect">
          <a:avLst/>
        </a:prstGeom>
        <a:solidFill>
          <a:schemeClr val="lt1"/>
        </a:solid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Nota : pour la ref 086417, pignon avec logement roulement</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roulement à 0.72€ vs coussinet à 1.91€</a:t>
          </a:r>
        </a:p>
        <a:p>
          <a:pPr marL="0" indent="0" algn="l"/>
          <a:r>
            <a:rPr lang="en-US" sz="11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soit 14.28€ de perte sur la solution</a:t>
          </a:r>
          <a:endParaRPr lang="en-US" sz="11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a:p>
          <a:pPr marL="0" indent="0" algn="l"/>
          <a:endParaRPr lang="en-US" sz="11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Régis LABBE" id="{15502D70-9E61-4A12-AC8D-FC84A0ACD969}" userId="S::regis.labbe@dimos.fr::6933a4f0-6cbc-4523-8dc9-1d85b0b1e65d" providerId="AD"/>
  <person displayName="Alice GODEFROY" id="{7E74C5A7-6A3B-453E-9339-1EA41AD44B87}" userId="S::alice.godefroy@dimos.fr::4c47cc74-81c2-4133-a09a-2011c981a27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ce Godefroy" refreshedDate="45348.37548599537" createdVersion="8" refreshedVersion="8" minRefreshableVersion="3" recordCount="128" xr:uid="{B9454F87-22A2-4DBE-AB6F-615FA907EDF9}">
  <cacheSource type="worksheet">
    <worksheetSource name="Tableau1"/>
  </cacheSource>
  <cacheFields count="29">
    <cacheField name="REFERENCE" numFmtId="0">
      <sharedItems containsMixedTypes="1" containsNumber="1" containsInteger="1" minValue="100100" maxValue="100112"/>
    </cacheField>
    <cacheField name="DESIGNATION" numFmtId="0">
      <sharedItems/>
    </cacheField>
    <cacheField name="086401 - Train mobile équipé pour DIPRO 3x" numFmtId="0">
      <sharedItems containsString="0" containsBlank="1" containsNumber="1" containsInteger="1" minValue="1" maxValue="29" count="9">
        <n v="8"/>
        <n v="4"/>
        <n v="7"/>
        <n v="1"/>
        <n v="6"/>
        <n v="2"/>
        <n v="14"/>
        <n v="29"/>
        <m/>
      </sharedItems>
    </cacheField>
    <cacheField name="086596 - Train fixe équipé pour DIPRO 3x" numFmtId="0">
      <sharedItems containsString="0" containsBlank="1" containsNumber="1" containsInteger="1" minValue="1" maxValue="31"/>
    </cacheField>
    <cacheField name="086403 - Ensemble chassis équipé pour DIPRO 3x" numFmtId="0">
      <sharedItems containsString="0" containsBlank="1" containsNumber="1" containsInteger="1" minValue="1" maxValue="4"/>
    </cacheField>
    <cacheField name="086571 - ski central" numFmtId="0">
      <sharedItems containsString="0" containsBlank="1" containsNumber="1" containsInteger="1" minValue="1" maxValue="1"/>
    </cacheField>
    <cacheField name="086645 - Ensemble Moteur 110V équipé pour DIPRO 3x" numFmtId="0">
      <sharedItems containsString="0" containsBlank="1" containsNumber="1" containsInteger="1" minValue="1" maxValue="16"/>
    </cacheField>
    <cacheField name="086651 - Ensemble Moteur 220V équipé pour DIPRO 3x" numFmtId="0">
      <sharedItems containsString="0" containsBlank="1" containsNumber="1" containsInteger="1" minValue="1" maxValue="16"/>
    </cacheField>
    <cacheField name="086944 - Option mobilité - DIPRO 3x" numFmtId="0">
      <sharedItems containsString="0" containsBlank="1" containsNumber="1" containsInteger="1" minValue="1" maxValue="1"/>
    </cacheField>
    <cacheField name="086577 - Coupe Transversale réglée - DIPRO 3x" numFmtId="0">
      <sharedItems containsString="0" containsBlank="1" containsNumber="1" containsInteger="1" minValue="1" maxValue="1"/>
    </cacheField>
    <cacheField name="086885 - Ensemble Codeur - DIPRO 3x" numFmtId="0">
      <sharedItems containsString="0" containsBlank="1" containsNumber="1" containsInteger="1" minValue="1" maxValue="4"/>
    </cacheField>
    <cacheField name="FAMILLE DE PIECE" numFmtId="0">
      <sharedItems/>
    </cacheField>
    <cacheField name="FOURNISSEUR" numFmtId="0">
      <sharedItems containsBlank="1"/>
    </cacheField>
    <cacheField name="REFERENCE FRS" numFmtId="0">
      <sharedItems containsBlank="1" containsMixedTypes="1" containsNumber="1" containsInteger="1" minValue="7372" maxValue="33435046"/>
    </cacheField>
    <cacheField name="MOQ" numFmtId="0">
      <sharedItems containsString="0" containsBlank="1" containsNumber="1" containsInteger="1" minValue="5" maxValue="500"/>
    </cacheField>
    <cacheField name="TARIF" numFmtId="165">
      <sharedItems containsString="0" containsBlank="1" containsNumber="1" minValue="3.8999999999999998E-3" maxValue="1719.1292000000001" count="93">
        <n v="1.41E-2"/>
        <n v="5.1700000000000003E-2"/>
        <n v="6.9900000000000004E-2"/>
        <n v="7.1099999999999997E-2"/>
        <n v="1.6"/>
        <n v="20.41"/>
        <n v="112.47"/>
        <n v="17.41"/>
        <n v="50.519999999999996"/>
        <n v="46.32"/>
        <n v="43.62"/>
        <n v="38.519999999999996"/>
        <n v="78.64"/>
        <n v="95.278899999999993"/>
        <n v="96.44"/>
        <n v="98.584000000000003"/>
        <n v="103.25"/>
        <n v="90.240000000000009"/>
        <n v="102.0789"/>
        <n v="118.1795"/>
        <n v="238.69"/>
        <n v="18.3"/>
        <n v="22.5"/>
        <n v="17"/>
        <n v="7.66"/>
        <n v="7.46"/>
        <n v="1.6400000000000001E-2"/>
        <n v="5.5399999999999998E-2"/>
        <n v="1.4"/>
        <n v="1.2"/>
        <n v="1.75"/>
        <m/>
        <n v="6.0900000000000003E-2"/>
        <n v="3.5400000000000001E-2"/>
        <n v="6.44"/>
        <n v="1.87"/>
        <n v="5.72"/>
        <n v="0.60760000000000003"/>
        <n v="406.22"/>
        <n v="34.700000000000003"/>
        <n v="69.569999999999993"/>
        <n v="1.43"/>
        <n v="3.8999999999999998E-3"/>
        <n v="5.0000000000000001E-3"/>
        <n v="2.2100000000000002E-2"/>
        <n v="0.12670000000000001"/>
        <n v="1719.1292000000001"/>
        <n v="0.65"/>
        <n v="65.010000000000005"/>
        <n v="37.68"/>
        <n v="452.88333333333333"/>
        <n v="1.5"/>
        <n v="91.34"/>
        <n v="88.24"/>
        <n v="81.740000000000009"/>
        <n v="79.240000000000009"/>
        <n v="74.64"/>
        <n v="71.539999999999992"/>
        <n v="71.039999999999992"/>
        <n v="105.5"/>
        <n v="107.5"/>
        <n v="109.5"/>
        <n v="105"/>
        <n v="98"/>
        <n v="97.5"/>
        <n v="314.83"/>
        <n v="4.4400000000000004"/>
        <n v="8.5999999999999993E-2"/>
        <n v="409.32"/>
        <n v="44.8"/>
        <n v="7.1000000000000004E-3"/>
        <n v="1.06E-2"/>
        <n v="290"/>
        <n v="350"/>
        <n v="7.28"/>
        <n v="1.9"/>
        <n v="7.63"/>
        <n v="825"/>
        <n v="28.57"/>
        <n v="18.72"/>
        <n v="1.69"/>
        <n v="250"/>
        <n v="1.64"/>
        <n v="6.73"/>
        <n v="0.9"/>
        <n v="13"/>
        <n v="16.09"/>
        <n v="27.04"/>
        <n v="76.5"/>
        <n v="7.37"/>
        <n v="0.83"/>
        <n v="58.46"/>
        <n v="296.60000000000002"/>
      </sharedItems>
    </cacheField>
    <cacheField name="tot tarif ligne" numFmtId="165">
      <sharedItems containsSemiMixedTypes="0" containsString="0" containsNumber="1" minValue="0" maxValue="1719.1292000000001"/>
    </cacheField>
    <cacheField name="DELAIS (w)" numFmtId="0">
      <sharedItems containsString="0" containsBlank="1" containsNumber="1" containsInteger="1" minValue="1" maxValue="24"/>
    </cacheField>
    <cacheField name="DELAIS (J)" numFmtId="0">
      <sharedItems containsSemiMixedTypes="0" containsString="0" containsNumber="1" containsInteger="1" minValue="0" maxValue="168"/>
    </cacheField>
    <cacheField name="STOCK inventaire" numFmtId="0">
      <sharedItems containsString="0" containsBlank="1" containsNumber="1" containsInteger="1" minValue="0" maxValue="999"/>
    </cacheField>
    <cacheField name="STOCK disponible" numFmtId="0">
      <sharedItems containsString="0" containsBlank="1" containsNumber="1" containsInteger="1" minValue="0" maxValue="350"/>
    </cacheField>
    <cacheField name="SEUIL" numFmtId="0">
      <sharedItems containsString="0" containsBlank="1" containsNumber="1" containsInteger="1" minValue="8" maxValue="336"/>
    </cacheField>
    <cacheField name="COUVERTURE W (capa 3M/S)" numFmtId="0">
      <sharedItems containsString="0" containsBlank="1" containsNumber="1" minValue="0" maxValue="28"/>
    </cacheField>
    <cacheField name="date de rupture estimé" numFmtId="14">
      <sharedItems containsNonDate="0" containsDate="1" containsString="0" containsBlank="1" minDate="2024-02-26T00:00:00" maxDate="2024-09-10T00:00:00"/>
    </cacheField>
    <cacheField name="Alerte commande" numFmtId="14">
      <sharedItems/>
    </cacheField>
    <cacheField name="qté En réappro" numFmtId="0">
      <sharedItems containsString="0" containsBlank="1" containsNumber="1" containsInteger="1" minValue="20" maxValue="280"/>
    </cacheField>
    <cacheField name="n° de commande" numFmtId="0">
      <sharedItems containsBlank="1"/>
    </cacheField>
    <cacheField name="date de livraison réappro" numFmtId="14">
      <sharedItems containsNonDate="0" containsDate="1" containsString="0" containsBlank="1" minDate="2024-02-23T00:00:00" maxDate="2024-04-01T00:00:00"/>
    </cacheField>
    <cacheField name="couvert avant rupture" numFmtId="1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
  <r>
    <s v="005930"/>
    <s v="Vis FHC M5x12 ISO 10642 inox Classe A2"/>
    <x v="0"/>
    <n v="8"/>
    <m/>
    <m/>
    <m/>
    <m/>
    <m/>
    <m/>
    <m/>
    <s v="visserie"/>
    <s v="NEWLEAU"/>
    <m/>
    <n v="500"/>
    <x v="0"/>
    <n v="0.22559999999999999"/>
    <n v="2"/>
    <n v="14"/>
    <n v="80"/>
    <n v="80"/>
    <m/>
    <m/>
    <m/>
    <s v=""/>
    <m/>
    <m/>
    <m/>
    <s v="RUPTURE"/>
  </r>
  <r>
    <s v="005931"/>
    <s v="Vis FHC M6x45 ISO 10642 inox Classe A2"/>
    <x v="1"/>
    <n v="4"/>
    <m/>
    <m/>
    <m/>
    <m/>
    <m/>
    <m/>
    <m/>
    <s v="visserie"/>
    <s v="NEWLEAU"/>
    <m/>
    <n v="100"/>
    <x v="1"/>
    <n v="0.41360000000000002"/>
    <n v="2"/>
    <n v="14"/>
    <n v="40"/>
    <n v="40"/>
    <m/>
    <m/>
    <m/>
    <s v=""/>
    <m/>
    <m/>
    <m/>
    <s v="RUPTURE"/>
  </r>
  <r>
    <s v="005932"/>
    <s v="Vis CHC M8x30 ISO 4762 inox Classe A2 / à changer contre M8*25"/>
    <x v="1"/>
    <n v="2"/>
    <m/>
    <m/>
    <m/>
    <m/>
    <m/>
    <m/>
    <m/>
    <s v="visserie"/>
    <s v="NEWLEAU"/>
    <m/>
    <n v="100"/>
    <x v="2"/>
    <n v="0.4194"/>
    <n v="2"/>
    <n v="14"/>
    <n v="30"/>
    <n v="30"/>
    <m/>
    <m/>
    <m/>
    <s v=""/>
    <m/>
    <m/>
    <m/>
    <s v="RUPTURE"/>
  </r>
  <r>
    <s v="005933"/>
    <s v="Clavette - Wedge forme A 6X6X14 NF E 22-177 DIN 6885A"/>
    <x v="2"/>
    <n v="7"/>
    <m/>
    <m/>
    <m/>
    <m/>
    <m/>
    <m/>
    <m/>
    <s v="visserie"/>
    <s v="NEWLEAU"/>
    <m/>
    <n v="200"/>
    <x v="3"/>
    <n v="0.99539999999999995"/>
    <n v="2"/>
    <n v="14"/>
    <n v="70"/>
    <n v="70"/>
    <m/>
    <m/>
    <m/>
    <s v=""/>
    <m/>
    <m/>
    <m/>
    <s v="RUPTURE"/>
  </r>
  <r>
    <s v="901145"/>
    <s v="ETIQUETTE PICTOGRAMME AUTOCOLLANTE ECRASEMENT MAINS"/>
    <x v="3"/>
    <n v="1"/>
    <m/>
    <m/>
    <m/>
    <m/>
    <m/>
    <m/>
    <m/>
    <s v="signalitique"/>
    <s v="SETON"/>
    <m/>
    <m/>
    <x v="4"/>
    <n v="3.2"/>
    <m/>
    <n v="0"/>
    <n v="100"/>
    <n v="100"/>
    <n v="8"/>
    <n v="20"/>
    <d v="2024-07-15T00:00:00"/>
    <s v=""/>
    <m/>
    <m/>
    <m/>
    <s v="OK"/>
  </r>
  <r>
    <s v="086649"/>
    <s v="Tole inférieure train mobile - DIPRO 3x"/>
    <x v="3"/>
    <m/>
    <m/>
    <m/>
    <m/>
    <m/>
    <m/>
    <m/>
    <m/>
    <s v="tolerie"/>
    <s v="ROBIN"/>
    <m/>
    <n v="20"/>
    <x v="5"/>
    <n v="20.41"/>
    <n v="12"/>
    <n v="84"/>
    <n v="5"/>
    <n v="5"/>
    <n v="28"/>
    <n v="2"/>
    <d v="2024-03-11T00:00:00"/>
    <s v="A COMMANDER"/>
    <n v="20"/>
    <s v="D12401ACN00105"/>
    <d v="2024-03-15T00:00:00"/>
    <s v="RUPTURE"/>
  </r>
  <r>
    <s v="086654"/>
    <s v="Tole supérieur train mobile - DIPRO 3x"/>
    <x v="3"/>
    <m/>
    <m/>
    <m/>
    <m/>
    <m/>
    <m/>
    <m/>
    <m/>
    <s v="tolerie"/>
    <s v="ROBIN"/>
    <m/>
    <n v="20"/>
    <x v="6"/>
    <n v="112.47"/>
    <n v="12"/>
    <n v="84"/>
    <n v="5"/>
    <n v="5"/>
    <n v="28"/>
    <n v="2"/>
    <d v="2024-03-11T00:00:00"/>
    <s v="A COMMANDER"/>
    <n v="20"/>
    <s v="D12401ACN00105"/>
    <d v="2024-03-15T00:00:00"/>
    <s v="RUPTURE"/>
  </r>
  <r>
    <s v="086655"/>
    <s v="Tole arrière pour train fixe et mobile - DIPRO 3x"/>
    <x v="3"/>
    <n v="1"/>
    <m/>
    <m/>
    <m/>
    <m/>
    <m/>
    <m/>
    <m/>
    <s v="tolerie"/>
    <s v="ROBIN"/>
    <m/>
    <n v="40"/>
    <x v="7"/>
    <n v="34.82"/>
    <n v="12"/>
    <n v="84"/>
    <n v="10"/>
    <n v="10"/>
    <n v="56"/>
    <n v="2"/>
    <d v="2024-03-11T00:00:00"/>
    <s v="A COMMANDER"/>
    <n v="40"/>
    <s v="D12401ACN00105"/>
    <d v="2024-03-15T00:00:00"/>
    <s v="RUPTURE"/>
  </r>
  <r>
    <s v="001"/>
    <s v="Station Galet mob sup A"/>
    <x v="3"/>
    <m/>
    <m/>
    <m/>
    <m/>
    <m/>
    <m/>
    <m/>
    <m/>
    <s v="tournage montage"/>
    <s v="ASM2"/>
    <m/>
    <n v="20"/>
    <x v="8"/>
    <n v="50.519999999999996"/>
    <n v="7"/>
    <n v="49"/>
    <n v="5"/>
    <n v="5"/>
    <n v="18"/>
    <n v="2"/>
    <d v="2024-03-11T00:00:00"/>
    <s v="A COMMANDER"/>
    <n v="20"/>
    <s v="D12401ACN00035"/>
    <d v="2024-03-31T00:00:00"/>
    <s v="RUPTURE"/>
  </r>
  <r>
    <s v="002"/>
    <s v="Station Galet mob sup B"/>
    <x v="3"/>
    <m/>
    <m/>
    <m/>
    <m/>
    <m/>
    <m/>
    <m/>
    <m/>
    <s v="tournage montage"/>
    <s v="ASM2"/>
    <m/>
    <n v="20"/>
    <x v="9"/>
    <n v="46.32"/>
    <n v="7"/>
    <n v="49"/>
    <n v="5"/>
    <n v="5"/>
    <n v="18"/>
    <n v="2"/>
    <d v="2024-03-11T00:00:00"/>
    <s v="A COMMANDER"/>
    <n v="20"/>
    <s v="D12401ACN00035"/>
    <d v="2024-03-31T00:00:00"/>
    <s v="RUPTURE"/>
  </r>
  <r>
    <s v="003"/>
    <s v="Station Galet mob sup C"/>
    <x v="3"/>
    <m/>
    <m/>
    <m/>
    <m/>
    <m/>
    <m/>
    <m/>
    <m/>
    <s v="tournage montage"/>
    <s v="ASM2"/>
    <m/>
    <n v="20"/>
    <x v="10"/>
    <n v="43.62"/>
    <n v="7"/>
    <n v="49"/>
    <n v="5"/>
    <n v="5"/>
    <n v="18"/>
    <n v="2"/>
    <d v="2024-03-11T00:00:00"/>
    <s v="A COMMANDER"/>
    <n v="20"/>
    <s v="D12401ACN00035"/>
    <d v="2024-03-31T00:00:00"/>
    <s v="RUPTURE"/>
  </r>
  <r>
    <s v="004"/>
    <s v="Station Galet mob sup D"/>
    <x v="3"/>
    <m/>
    <m/>
    <m/>
    <m/>
    <m/>
    <m/>
    <m/>
    <m/>
    <s v="tournage montage"/>
    <s v="ASM2"/>
    <m/>
    <n v="20"/>
    <x v="10"/>
    <n v="43.62"/>
    <n v="7"/>
    <n v="49"/>
    <n v="5"/>
    <n v="5"/>
    <n v="18"/>
    <n v="2"/>
    <d v="2024-03-11T00:00:00"/>
    <s v="A COMMANDER"/>
    <n v="20"/>
    <s v="D12401ACN00035"/>
    <d v="2024-03-31T00:00:00"/>
    <s v="RUPTURE"/>
  </r>
  <r>
    <s v="005"/>
    <s v="Station Galet mob sup E incliné"/>
    <x v="3"/>
    <m/>
    <m/>
    <m/>
    <m/>
    <m/>
    <m/>
    <m/>
    <m/>
    <s v="tournage montage"/>
    <s v="ASM2"/>
    <m/>
    <n v="20"/>
    <x v="11"/>
    <n v="38.519999999999996"/>
    <n v="7"/>
    <n v="49"/>
    <n v="5"/>
    <n v="5"/>
    <n v="18"/>
    <n v="2"/>
    <d v="2024-03-11T00:00:00"/>
    <s v="A COMMANDER"/>
    <n v="20"/>
    <s v="D12401ACN00035"/>
    <d v="2024-03-31T00:00:00"/>
    <s v="RUPTURE"/>
  </r>
  <r>
    <s v="006"/>
    <s v="Station Galet mob sup F incliné"/>
    <x v="3"/>
    <m/>
    <m/>
    <m/>
    <m/>
    <m/>
    <m/>
    <m/>
    <m/>
    <s v="tournage montage"/>
    <s v="ASM2"/>
    <m/>
    <n v="20"/>
    <x v="11"/>
    <n v="38.519999999999996"/>
    <n v="7"/>
    <n v="49"/>
    <n v="5"/>
    <n v="5"/>
    <n v="18"/>
    <n v="2"/>
    <d v="2024-03-11T00:00:00"/>
    <s v="A COMMANDER"/>
    <n v="20"/>
    <s v="D12401ACN00035"/>
    <d v="2024-03-31T00:00:00"/>
    <s v="RUPTURE"/>
  </r>
  <r>
    <s v="007"/>
    <s v="Station Galet mob sup G"/>
    <x v="3"/>
    <m/>
    <m/>
    <m/>
    <m/>
    <m/>
    <m/>
    <m/>
    <m/>
    <s v="tournage montage"/>
    <s v="ASM2"/>
    <m/>
    <n v="20"/>
    <x v="12"/>
    <n v="78.64"/>
    <n v="7"/>
    <n v="49"/>
    <n v="5"/>
    <n v="5"/>
    <n v="18"/>
    <n v="2"/>
    <d v="2024-03-11T00:00:00"/>
    <s v="A COMMANDER"/>
    <n v="20"/>
    <s v="D12401ACN00035"/>
    <d v="2024-03-31T00:00:00"/>
    <s v="RUPTURE"/>
  </r>
  <r>
    <s v="008"/>
    <s v="Station Galet mob inf A"/>
    <x v="3"/>
    <m/>
    <m/>
    <m/>
    <m/>
    <m/>
    <m/>
    <m/>
    <m/>
    <s v="tournage montage"/>
    <s v="ASM2"/>
    <m/>
    <n v="20"/>
    <x v="13"/>
    <n v="95.278899999999993"/>
    <n v="7"/>
    <n v="49"/>
    <n v="5"/>
    <n v="5"/>
    <n v="18"/>
    <n v="2"/>
    <d v="2024-03-11T00:00:00"/>
    <s v="A COMMANDER"/>
    <n v="20"/>
    <s v="D12401ACN00035"/>
    <d v="2024-03-31T00:00:00"/>
    <s v="RUPTURE"/>
  </r>
  <r>
    <s v="009"/>
    <s v="Station Galet mob inf B"/>
    <x v="3"/>
    <m/>
    <m/>
    <m/>
    <m/>
    <m/>
    <m/>
    <m/>
    <m/>
    <s v="tournage montage"/>
    <s v="ASM2"/>
    <m/>
    <n v="20"/>
    <x v="14"/>
    <n v="96.44"/>
    <n v="7"/>
    <n v="49"/>
    <n v="5"/>
    <n v="5"/>
    <n v="18"/>
    <n v="2"/>
    <d v="2024-03-11T00:00:00"/>
    <s v="A COMMANDER"/>
    <n v="20"/>
    <s v="D12401ACN00035"/>
    <d v="2024-03-31T00:00:00"/>
    <s v="RUPTURE"/>
  </r>
  <r>
    <s v="010"/>
    <s v="Station Galet mob inf C"/>
    <x v="3"/>
    <m/>
    <m/>
    <m/>
    <m/>
    <m/>
    <m/>
    <m/>
    <m/>
    <s v="tournage montage"/>
    <s v="ASM2"/>
    <m/>
    <n v="20"/>
    <x v="15"/>
    <n v="98.584000000000003"/>
    <n v="7"/>
    <n v="49"/>
    <n v="5"/>
    <n v="5"/>
    <n v="18"/>
    <n v="2"/>
    <d v="2024-03-11T00:00:00"/>
    <s v="A COMMANDER"/>
    <n v="20"/>
    <s v="D12401ACN00035"/>
    <d v="2024-03-31T00:00:00"/>
    <s v="RUPTURE"/>
  </r>
  <r>
    <s v="011"/>
    <s v="Station Galet mob inf D"/>
    <x v="3"/>
    <m/>
    <m/>
    <m/>
    <m/>
    <m/>
    <m/>
    <m/>
    <m/>
    <s v="tournage montage"/>
    <s v="ASM2"/>
    <m/>
    <n v="20"/>
    <x v="16"/>
    <n v="103.25"/>
    <n v="7"/>
    <n v="49"/>
    <n v="5"/>
    <n v="5"/>
    <n v="18"/>
    <n v="2"/>
    <d v="2024-03-11T00:00:00"/>
    <s v="A COMMANDER"/>
    <n v="20"/>
    <s v="D12401ACN00035"/>
    <d v="2024-03-31T00:00:00"/>
    <s v="RUPTURE"/>
  </r>
  <r>
    <s v="012"/>
    <s v="Station Galet mob inf E"/>
    <x v="3"/>
    <m/>
    <m/>
    <m/>
    <m/>
    <m/>
    <m/>
    <m/>
    <m/>
    <s v="tournage montage"/>
    <s v="ASM2"/>
    <m/>
    <n v="20"/>
    <x v="17"/>
    <n v="90.240000000000009"/>
    <n v="7"/>
    <n v="49"/>
    <n v="5"/>
    <n v="5"/>
    <n v="18"/>
    <n v="2"/>
    <d v="2024-03-11T00:00:00"/>
    <s v="A COMMANDER"/>
    <n v="20"/>
    <s v="D12401ACN00035"/>
    <d v="2024-03-31T00:00:00"/>
    <s v="RUPTURE"/>
  </r>
  <r>
    <s v="013"/>
    <s v="Station Galet mob inf F"/>
    <x v="3"/>
    <m/>
    <m/>
    <m/>
    <m/>
    <m/>
    <m/>
    <m/>
    <m/>
    <s v="tournage montage"/>
    <s v="ASM2"/>
    <m/>
    <n v="20"/>
    <x v="18"/>
    <n v="102.0789"/>
    <n v="7"/>
    <n v="49"/>
    <n v="5"/>
    <n v="5"/>
    <n v="18"/>
    <n v="2"/>
    <d v="2024-03-11T00:00:00"/>
    <s v="A COMMANDER"/>
    <n v="20"/>
    <s v="D12401ACN00035"/>
    <d v="2024-03-31T00:00:00"/>
    <s v="RUPTURE"/>
  </r>
  <r>
    <s v="014"/>
    <s v="Station Galet mob inf G"/>
    <x v="3"/>
    <m/>
    <m/>
    <m/>
    <m/>
    <m/>
    <m/>
    <m/>
    <m/>
    <s v="tournage montage"/>
    <s v="ASM2"/>
    <m/>
    <n v="20"/>
    <x v="19"/>
    <n v="118.1795"/>
    <n v="7"/>
    <n v="49"/>
    <n v="5"/>
    <n v="5"/>
    <n v="18"/>
    <n v="2"/>
    <d v="2024-03-11T00:00:00"/>
    <s v="A COMMANDER"/>
    <n v="20"/>
    <s v="D12401ACN00035"/>
    <d v="2024-03-31T00:00:00"/>
    <s v="RUPTURE"/>
  </r>
  <r>
    <s v="086506"/>
    <s v="Bloc Alu Ensemble bloc Alu"/>
    <x v="3"/>
    <m/>
    <m/>
    <m/>
    <m/>
    <m/>
    <m/>
    <m/>
    <m/>
    <s v="tournage montage"/>
    <s v="MECADYNAMIC"/>
    <m/>
    <n v="20"/>
    <x v="20"/>
    <n v="238.69"/>
    <n v="7"/>
    <n v="49"/>
    <n v="5"/>
    <n v="5"/>
    <n v="18"/>
    <n v="2"/>
    <d v="2024-03-11T00:00:00"/>
    <s v="A COMMANDER"/>
    <n v="20"/>
    <s v="D12402ACN00121"/>
    <d v="2024-02-29T00:00:00"/>
    <s v="OK"/>
  </r>
  <r>
    <s v="086417"/>
    <s v="Pignon 20 dents transmission "/>
    <x v="4"/>
    <n v="6"/>
    <m/>
    <m/>
    <m/>
    <m/>
    <m/>
    <m/>
    <m/>
    <s v="pignon"/>
    <s v="NUMEC"/>
    <m/>
    <n v="240"/>
    <x v="21"/>
    <n v="219.60000000000002"/>
    <n v="10"/>
    <n v="70"/>
    <n v="260"/>
    <n v="260"/>
    <n v="288"/>
    <n v="8.6666666666666661"/>
    <d v="2024-04-26T16:00:00"/>
    <s v="A COMMANDER"/>
    <m/>
    <m/>
    <m/>
    <s v="OK"/>
  </r>
  <r>
    <s v="086416"/>
    <s v="Pignon 20 dents galet "/>
    <x v="2"/>
    <n v="7"/>
    <m/>
    <m/>
    <m/>
    <m/>
    <m/>
    <m/>
    <m/>
    <s v="pignon"/>
    <s v="NUMEC"/>
    <m/>
    <n v="280"/>
    <x v="22"/>
    <n v="315"/>
    <n v="10"/>
    <n v="70"/>
    <n v="319"/>
    <n v="319"/>
    <n v="336"/>
    <n v="9.1142857142857139"/>
    <d v="2024-04-29T19:12:00"/>
    <s v="A COMMANDER"/>
    <m/>
    <m/>
    <m/>
    <s v="OK"/>
  </r>
  <r>
    <s v="086780"/>
    <s v="plaque d'appuis porte galet"/>
    <x v="5"/>
    <n v="2"/>
    <m/>
    <m/>
    <m/>
    <m/>
    <m/>
    <m/>
    <m/>
    <s v="tolerie"/>
    <s v="ACI"/>
    <m/>
    <n v="80"/>
    <x v="23"/>
    <n v="68"/>
    <n v="4"/>
    <n v="28"/>
    <n v="20"/>
    <n v="20"/>
    <n v="48"/>
    <n v="2"/>
    <d v="2024-03-11T00:00:00"/>
    <s v="A COMMANDER"/>
    <n v="80"/>
    <s v="D12402ACN00058"/>
    <d v="2024-02-29T00:00:00"/>
    <s v="OK"/>
  </r>
  <r>
    <s v="086782"/>
    <s v="entretoise bridage"/>
    <x v="5"/>
    <n v="2"/>
    <m/>
    <m/>
    <m/>
    <m/>
    <m/>
    <m/>
    <m/>
    <s v="tolerie"/>
    <s v="ACI"/>
    <m/>
    <n v="80"/>
    <x v="24"/>
    <n v="30.64"/>
    <n v="4"/>
    <n v="28"/>
    <n v="20"/>
    <n v="20"/>
    <n v="48"/>
    <n v="2"/>
    <d v="2024-03-11T00:00:00"/>
    <s v="A COMMANDER"/>
    <n v="80"/>
    <s v="D12402ACN00058"/>
    <d v="2024-02-29T00:00:00"/>
    <s v="OK"/>
  </r>
  <r>
    <s v="086811"/>
    <s v="tole bridage - pied"/>
    <x v="5"/>
    <n v="2"/>
    <m/>
    <m/>
    <m/>
    <m/>
    <m/>
    <m/>
    <m/>
    <s v="tolerie"/>
    <s v="ACI"/>
    <m/>
    <n v="80"/>
    <x v="25"/>
    <n v="29.84"/>
    <n v="4"/>
    <n v="28"/>
    <n v="20"/>
    <n v="20"/>
    <n v="48"/>
    <n v="2"/>
    <d v="2024-03-11T00:00:00"/>
    <s v="A COMMANDER"/>
    <n v="80"/>
    <s v="D12402ACN00058"/>
    <d v="2024-02-29T00:00:00"/>
    <s v="OK"/>
  </r>
  <r>
    <s v="005934"/>
    <s v="RONDELLE PLATE Inox A2 - A2 stainless steel washer L 8"/>
    <x v="0"/>
    <n v="14"/>
    <m/>
    <m/>
    <m/>
    <m/>
    <m/>
    <m/>
    <m/>
    <s v="visserie"/>
    <s v="NEWLEAU"/>
    <m/>
    <n v="200"/>
    <x v="26"/>
    <n v="0.36080000000000001"/>
    <n v="2"/>
    <n v="14"/>
    <n v="110"/>
    <n v="110"/>
    <m/>
    <m/>
    <m/>
    <s v=""/>
    <m/>
    <m/>
    <m/>
    <s v="RUPTURE"/>
  </r>
  <r>
    <s v="005935"/>
    <s v="Vis CHC M8x16 ISO 4762 inox A2"/>
    <x v="2"/>
    <n v="7"/>
    <m/>
    <m/>
    <m/>
    <m/>
    <m/>
    <m/>
    <m/>
    <s v="visserie"/>
    <s v="NEWLEAU"/>
    <m/>
    <n v="200"/>
    <x v="27"/>
    <n v="0.77559999999999996"/>
    <n v="2"/>
    <n v="14"/>
    <n v="70"/>
    <n v="70"/>
    <m/>
    <m/>
    <m/>
    <s v=""/>
    <m/>
    <m/>
    <m/>
    <s v="RUPTURE"/>
  </r>
  <r>
    <s v="086536"/>
    <s v="Entretoise bloc alu"/>
    <x v="2"/>
    <n v="7"/>
    <m/>
    <m/>
    <m/>
    <m/>
    <m/>
    <m/>
    <m/>
    <s v="tournage montage"/>
    <s v="ASM2"/>
    <m/>
    <n v="140"/>
    <x v="28"/>
    <n v="19.599999999999998"/>
    <n v="5"/>
    <n v="35"/>
    <n v="350"/>
    <n v="350"/>
    <n v="196"/>
    <n v="10"/>
    <d v="2024-05-06T00:00:00"/>
    <s v=""/>
    <m/>
    <m/>
    <m/>
    <s v="OK"/>
  </r>
  <r>
    <s v="086450"/>
    <s v="Entretoise galet engrenage"/>
    <x v="2"/>
    <n v="7"/>
    <m/>
    <m/>
    <m/>
    <m/>
    <m/>
    <m/>
    <m/>
    <s v="tournage montage"/>
    <s v="ASM2"/>
    <m/>
    <n v="140"/>
    <x v="29"/>
    <n v="16.8"/>
    <n v="5"/>
    <n v="35"/>
    <n v="70"/>
    <n v="70"/>
    <n v="196"/>
    <n v="2"/>
    <d v="2024-03-11T00:00:00"/>
    <s v="A COMMANDER"/>
    <n v="280"/>
    <s v="D12401ACN00035"/>
    <d v="2024-03-31T00:00:00"/>
    <s v="RUPTURE"/>
  </r>
  <r>
    <s v="087046"/>
    <s v="entretoise fileté engrenage"/>
    <x v="4"/>
    <n v="6"/>
    <m/>
    <m/>
    <m/>
    <m/>
    <m/>
    <m/>
    <m/>
    <s v="tournage montage"/>
    <s v="ASM2"/>
    <m/>
    <n v="120"/>
    <x v="30"/>
    <n v="21"/>
    <n v="5"/>
    <n v="35"/>
    <n v="300"/>
    <n v="300"/>
    <n v="168"/>
    <n v="10"/>
    <d v="2024-05-06T00:00:00"/>
    <s v=""/>
    <m/>
    <m/>
    <m/>
    <s v="OK"/>
  </r>
  <r>
    <s v="005936"/>
    <s v="Vis CHC M5x16 Inox Classe A2"/>
    <x v="5"/>
    <n v="1"/>
    <m/>
    <m/>
    <m/>
    <m/>
    <m/>
    <m/>
    <m/>
    <s v="visserie"/>
    <m/>
    <m/>
    <m/>
    <x v="31"/>
    <n v="0"/>
    <n v="2"/>
    <n v="14"/>
    <n v="15"/>
    <n v="15"/>
    <m/>
    <m/>
    <m/>
    <s v=""/>
    <m/>
    <m/>
    <m/>
    <s v="RUPTURE"/>
  </r>
  <r>
    <s v="005937"/>
    <s v="Vis CHC M8x25 ISO 4762 inox Classe A2"/>
    <x v="2"/>
    <n v="11"/>
    <m/>
    <m/>
    <m/>
    <m/>
    <m/>
    <m/>
    <m/>
    <s v="visserie"/>
    <s v="NEWLEAU"/>
    <s v="912A2-8X25"/>
    <n v="200"/>
    <x v="32"/>
    <n v="1.0962000000000001"/>
    <n v="2"/>
    <n v="14"/>
    <n v="90"/>
    <n v="90"/>
    <m/>
    <m/>
    <m/>
    <s v=""/>
    <m/>
    <m/>
    <m/>
    <s v="RUPTURE"/>
  </r>
  <r>
    <s v="005938"/>
    <s v="Rondelle de Calage 9X15X1 DIN 988 acier brut"/>
    <x v="5"/>
    <m/>
    <m/>
    <m/>
    <m/>
    <m/>
    <m/>
    <m/>
    <m/>
    <s v="visserie"/>
    <s v="NEWLEAU"/>
    <m/>
    <n v="100"/>
    <x v="33"/>
    <n v="7.0800000000000002E-2"/>
    <n v="2"/>
    <n v="14"/>
    <n v="10"/>
    <n v="10"/>
    <m/>
    <m/>
    <m/>
    <s v=""/>
    <m/>
    <m/>
    <m/>
    <s v="RUPTURE"/>
  </r>
  <r>
    <s v="086474"/>
    <s v="Support Galet incliné"/>
    <x v="5"/>
    <m/>
    <m/>
    <m/>
    <m/>
    <m/>
    <m/>
    <m/>
    <m/>
    <s v="tolerie"/>
    <s v="ACI"/>
    <m/>
    <n v="40"/>
    <x v="34"/>
    <n v="12.88"/>
    <n v="4"/>
    <n v="28"/>
    <n v="10"/>
    <n v="10"/>
    <n v="24"/>
    <n v="2"/>
    <d v="2024-03-11T00:00:00"/>
    <s v="A COMMANDER"/>
    <n v="40"/>
    <s v="D12402ACN00058"/>
    <d v="2024-02-29T00:00:00"/>
    <s v="OK"/>
  </r>
  <r>
    <n v="100109"/>
    <s v="Roulement a biles Øint 20 - Øext 42 - 2 joints - acier"/>
    <x v="6"/>
    <n v="14"/>
    <m/>
    <m/>
    <m/>
    <m/>
    <m/>
    <m/>
    <m/>
    <s v="commerce"/>
    <s v="123ROULEMENT"/>
    <s v="6004-2RS"/>
    <n v="280"/>
    <x v="35"/>
    <n v="52.36"/>
    <n v="1"/>
    <n v="7"/>
    <n v="140"/>
    <n v="140"/>
    <n v="168"/>
    <n v="2"/>
    <d v="2024-03-11T00:00:00"/>
    <s v="A COMMANDER"/>
    <m/>
    <m/>
    <m/>
    <s v="OK"/>
  </r>
  <r>
    <n v="100107"/>
    <s v="poignée noire Train"/>
    <x v="5"/>
    <n v="2"/>
    <m/>
    <m/>
    <m/>
    <m/>
    <m/>
    <m/>
    <m/>
    <s v="commerce"/>
    <s v="MISUMI"/>
    <s v="UPCN28-B-71"/>
    <m/>
    <x v="36"/>
    <n v="22.88"/>
    <n v="1"/>
    <n v="7"/>
    <n v="20"/>
    <n v="20"/>
    <n v="24"/>
    <n v="2"/>
    <d v="2024-03-11T00:00:00"/>
    <s v="A COMMANDER"/>
    <m/>
    <m/>
    <m/>
    <s v="OK"/>
  </r>
  <r>
    <n v="100108"/>
    <s v="Insert fendu M8"/>
    <x v="3"/>
    <n v="1"/>
    <m/>
    <m/>
    <m/>
    <m/>
    <m/>
    <m/>
    <m/>
    <s v="visserie"/>
    <s v="NEWLEAU"/>
    <s v="INSFILA1-M8/50 "/>
    <n v="50"/>
    <x v="37"/>
    <n v="1.2152000000000001"/>
    <n v="2"/>
    <n v="14"/>
    <n v="10"/>
    <n v="10"/>
    <m/>
    <m/>
    <m/>
    <s v=""/>
    <m/>
    <m/>
    <m/>
    <s v="RUPTURE"/>
  </r>
  <r>
    <s v="086499"/>
    <s v="Avaloir"/>
    <x v="3"/>
    <m/>
    <m/>
    <m/>
    <m/>
    <m/>
    <m/>
    <m/>
    <m/>
    <s v="tolerie montage"/>
    <s v="ROBIN"/>
    <m/>
    <n v="20"/>
    <x v="38"/>
    <n v="406.22"/>
    <n v="7"/>
    <n v="49"/>
    <n v="5"/>
    <n v="5"/>
    <n v="18"/>
    <n v="2"/>
    <d v="2024-03-11T00:00:00"/>
    <s v="A COMMANDER"/>
    <n v="20"/>
    <s v="D12401ACN00121"/>
    <d v="2024-03-27T00:00:00"/>
    <s v="RUPTURE"/>
  </r>
  <r>
    <s v="086515"/>
    <s v="guide de sortie mobile"/>
    <x v="3"/>
    <m/>
    <m/>
    <m/>
    <m/>
    <m/>
    <m/>
    <m/>
    <m/>
    <s v="tolerie montage"/>
    <s v="SOFRAPI"/>
    <m/>
    <n v="20"/>
    <x v="39"/>
    <n v="34.700000000000003"/>
    <n v="5"/>
    <n v="35"/>
    <n v="5"/>
    <n v="5"/>
    <n v="14"/>
    <n v="2"/>
    <d v="2024-03-11T00:00:00"/>
    <s v="A COMMANDER"/>
    <n v="20"/>
    <s v="D12401ACN00103"/>
    <d v="2024-02-23T00:00:00"/>
    <s v="OK"/>
  </r>
  <r>
    <s v="086526"/>
    <s v="Ensemble rail mobile"/>
    <x v="3"/>
    <m/>
    <m/>
    <m/>
    <m/>
    <m/>
    <m/>
    <m/>
    <m/>
    <s v="tolerie montage"/>
    <s v="ROBIN"/>
    <m/>
    <n v="30"/>
    <x v="40"/>
    <n v="69.569999999999993"/>
    <n v="7"/>
    <n v="49"/>
    <n v="5"/>
    <n v="5"/>
    <n v="18"/>
    <n v="2"/>
    <d v="2024-03-11T00:00:00"/>
    <s v="A COMMANDER"/>
    <n v="30"/>
    <s v="D12401ACN00089"/>
    <d v="2024-02-29T00:00:00"/>
    <s v="OK"/>
  </r>
  <r>
    <n v="100112"/>
    <s v="Roulement a biles Øint 15 - Øext 32 - 2 joints - acier"/>
    <x v="4"/>
    <n v="6"/>
    <m/>
    <m/>
    <m/>
    <m/>
    <m/>
    <m/>
    <m/>
    <s v="commerce"/>
    <s v="123ROULEMENT"/>
    <s v="6002-2RS"/>
    <n v="120"/>
    <x v="41"/>
    <n v="17.16"/>
    <n v="1"/>
    <n v="7"/>
    <n v="60"/>
    <n v="60"/>
    <n v="72"/>
    <n v="2"/>
    <d v="2024-03-11T00:00:00"/>
    <s v="A COMMANDER"/>
    <m/>
    <m/>
    <m/>
    <s v="OK"/>
  </r>
  <r>
    <s v="086908"/>
    <s v="Rondelle Plate étroite 6.6x12X1.2 - NFE 25513 série Z6 Inox A2"/>
    <x v="7"/>
    <n v="31"/>
    <m/>
    <m/>
    <n v="2"/>
    <n v="2"/>
    <m/>
    <m/>
    <m/>
    <s v="visserie"/>
    <s v="NEWLEAU"/>
    <s v="RONDA2Z6"/>
    <n v="200"/>
    <x v="42"/>
    <n v="0.24959999999999999"/>
    <n v="2"/>
    <n v="14"/>
    <n v="300"/>
    <n v="300"/>
    <m/>
    <m/>
    <m/>
    <s v=""/>
    <m/>
    <m/>
    <m/>
    <s v="RUPTURE"/>
  </r>
  <r>
    <s v="005939"/>
    <s v="RONDELLE GROWER Inox A2 - A2 stainless steel washer GROWER W6"/>
    <x v="7"/>
    <n v="29"/>
    <m/>
    <m/>
    <m/>
    <m/>
    <m/>
    <m/>
    <m/>
    <s v="visserie"/>
    <s v="NEWLEAU"/>
    <s v="127A1-6"/>
    <n v="200"/>
    <x v="43"/>
    <n v="0.28999999999999998"/>
    <n v="2"/>
    <n v="14"/>
    <n v="290"/>
    <n v="290"/>
    <m/>
    <m/>
    <m/>
    <s v=""/>
    <m/>
    <m/>
    <m/>
    <s v="RUPTURE"/>
  </r>
  <r>
    <s v="005940"/>
    <s v="Vis BHC M6x16 ISO 7380 inox Classe A2"/>
    <x v="7"/>
    <n v="29"/>
    <m/>
    <m/>
    <m/>
    <m/>
    <m/>
    <m/>
    <m/>
    <s v="visserie"/>
    <s v="NEWLEAU"/>
    <s v="7380A2-6X16 "/>
    <n v="200"/>
    <x v="44"/>
    <n v="1.2818000000000001"/>
    <n v="2"/>
    <n v="14"/>
    <n v="290"/>
    <n v="290"/>
    <m/>
    <m/>
    <m/>
    <s v=""/>
    <m/>
    <m/>
    <m/>
    <s v="RUPTURE"/>
  </r>
  <r>
    <s v="005941"/>
    <s v="Pin – GOUPILLE LISSE DIN 7 ISO 2338 INOX A1 8X30"/>
    <x v="5"/>
    <n v="2"/>
    <m/>
    <m/>
    <m/>
    <m/>
    <m/>
    <m/>
    <m/>
    <s v="visserie"/>
    <s v="NEWLEAU"/>
    <s v="GOUPLISA1-8X30"/>
    <n v="100"/>
    <x v="45"/>
    <n v="0.50680000000000003"/>
    <n v="2"/>
    <n v="14"/>
    <n v="20"/>
    <n v="20"/>
    <m/>
    <m/>
    <m/>
    <s v=""/>
    <m/>
    <m/>
    <m/>
    <s v="RUPTURE"/>
  </r>
  <r>
    <s v="086401_PLA01"/>
    <s v="Plaquette identification"/>
    <x v="3"/>
    <n v="1"/>
    <m/>
    <m/>
    <m/>
    <m/>
    <m/>
    <m/>
    <m/>
    <s v="signalitique"/>
    <s v="ISE Impressions"/>
    <m/>
    <n v="60"/>
    <x v="31"/>
    <n v="0"/>
    <m/>
    <n v="0"/>
    <n v="10"/>
    <n v="10"/>
    <n v="8"/>
    <n v="2"/>
    <d v="2024-03-11T00:00:00"/>
    <s v=""/>
    <m/>
    <m/>
    <m/>
    <s v="OK"/>
  </r>
  <r>
    <s v="086502"/>
    <s v="SUPPORT AXE EQUIPE GAUCHE et DROITE"/>
    <x v="8"/>
    <m/>
    <n v="1"/>
    <m/>
    <m/>
    <m/>
    <m/>
    <m/>
    <m/>
    <s v="assemblage"/>
    <s v="SIMETAL"/>
    <m/>
    <n v="30"/>
    <x v="46"/>
    <n v="1719.1292000000001"/>
    <n v="12"/>
    <n v="84"/>
    <n v="20"/>
    <n v="20"/>
    <n v="28"/>
    <n v="8"/>
    <d v="2024-04-22T00:00:00"/>
    <s v="A COMMANDER"/>
    <m/>
    <m/>
    <m/>
    <s v="OK"/>
  </r>
  <r>
    <s v="086504"/>
    <s v="SUPPORT PALIER MOBILE EQUIPE"/>
    <x v="8"/>
    <m/>
    <n v="1"/>
    <m/>
    <m/>
    <m/>
    <m/>
    <m/>
    <m/>
    <s v="assemblage"/>
    <s v="SIMETAL"/>
    <m/>
    <m/>
    <x v="31"/>
    <n v="0"/>
    <n v="12"/>
    <n v="84"/>
    <n v="20"/>
    <n v="20"/>
    <n v="28"/>
    <n v="8"/>
    <d v="2024-04-22T00:00:00"/>
    <s v="A COMMANDER"/>
    <m/>
    <m/>
    <m/>
    <s v="OK"/>
  </r>
  <r>
    <s v="086503"/>
    <s v="TRANSMISSION CHASSIS"/>
    <x v="8"/>
    <m/>
    <n v="1"/>
    <m/>
    <m/>
    <m/>
    <m/>
    <m/>
    <m/>
    <s v="assemblage"/>
    <s v="SIMETAL"/>
    <m/>
    <m/>
    <x v="31"/>
    <n v="0"/>
    <n v="12"/>
    <n v="84"/>
    <n v="20"/>
    <n v="20"/>
    <n v="28"/>
    <n v="8"/>
    <d v="2024-04-22T00:00:00"/>
    <s v="A COMMANDER"/>
    <m/>
    <m/>
    <m/>
    <s v="OK"/>
  </r>
  <r>
    <s v="086501"/>
    <s v="CHASSIS VISSE"/>
    <x v="8"/>
    <m/>
    <n v="1"/>
    <m/>
    <m/>
    <m/>
    <m/>
    <m/>
    <m/>
    <s v="assemblage"/>
    <s v="SIMETAL"/>
    <m/>
    <m/>
    <x v="31"/>
    <n v="0"/>
    <n v="12"/>
    <n v="84"/>
    <n v="20"/>
    <n v="20"/>
    <n v="28"/>
    <n v="8"/>
    <d v="2024-04-22T00:00:00"/>
    <s v="A COMMANDER"/>
    <m/>
    <m/>
    <m/>
    <s v="OK"/>
  </r>
  <r>
    <s v="086781"/>
    <s v="Tole protection pignon chassis mobile"/>
    <x v="8"/>
    <m/>
    <n v="1"/>
    <m/>
    <m/>
    <m/>
    <m/>
    <m/>
    <m/>
    <s v="tolerie"/>
    <s v="SIMETAL"/>
    <m/>
    <m/>
    <x v="31"/>
    <n v="0"/>
    <n v="12"/>
    <n v="84"/>
    <n v="20"/>
    <n v="20"/>
    <n v="28"/>
    <n v="8"/>
    <d v="2024-04-22T00:00:00"/>
    <s v="A COMMANDER"/>
    <m/>
    <m/>
    <m/>
    <s v="OK"/>
  </r>
  <r>
    <s v="086899"/>
    <s v="Tole protection pignon chassis mobile 2"/>
    <x v="8"/>
    <m/>
    <n v="1"/>
    <m/>
    <m/>
    <m/>
    <m/>
    <m/>
    <m/>
    <s v="tolerie"/>
    <s v="SIMETAL"/>
    <m/>
    <m/>
    <x v="31"/>
    <n v="0"/>
    <n v="12"/>
    <n v="84"/>
    <n v="20"/>
    <n v="20"/>
    <n v="28"/>
    <n v="8"/>
    <d v="2024-04-22T00:00:00"/>
    <s v="A COMMANDER"/>
    <m/>
    <m/>
    <m/>
    <s v="OK"/>
  </r>
  <r>
    <s v="086685"/>
    <s v="Tole protection pignon chassis 4"/>
    <x v="8"/>
    <m/>
    <n v="1"/>
    <m/>
    <m/>
    <m/>
    <m/>
    <m/>
    <m/>
    <s v="tolerie"/>
    <s v="SIMETAL"/>
    <m/>
    <m/>
    <x v="31"/>
    <n v="0"/>
    <n v="12"/>
    <n v="84"/>
    <n v="20"/>
    <n v="20"/>
    <n v="28"/>
    <n v="8"/>
    <d v="2024-04-22T00:00:00"/>
    <s v="A COMMANDER"/>
    <m/>
    <m/>
    <m/>
    <s v="OK"/>
  </r>
  <r>
    <s v="086684"/>
    <s v="Tole protection pignon chassis 3"/>
    <x v="8"/>
    <m/>
    <n v="1"/>
    <m/>
    <m/>
    <m/>
    <m/>
    <m/>
    <m/>
    <s v="tolerie"/>
    <s v="SIMETAL"/>
    <m/>
    <m/>
    <x v="31"/>
    <n v="0"/>
    <n v="12"/>
    <n v="84"/>
    <n v="20"/>
    <n v="20"/>
    <n v="28"/>
    <n v="8"/>
    <d v="2024-04-22T00:00:00"/>
    <s v="A COMMANDER"/>
    <m/>
    <m/>
    <m/>
    <s v="OK"/>
  </r>
  <r>
    <s v="086406"/>
    <s v="Plaque identification 70 x 20 mm châssis - DIPRO 3x"/>
    <x v="8"/>
    <m/>
    <n v="1"/>
    <m/>
    <m/>
    <m/>
    <m/>
    <m/>
    <m/>
    <s v="signalitique"/>
    <s v="ISE Impressions"/>
    <m/>
    <n v="60"/>
    <x v="47"/>
    <n v="0.65"/>
    <n v="2"/>
    <n v="14"/>
    <n v="60"/>
    <n v="60"/>
    <n v="8"/>
    <n v="24"/>
    <d v="2024-08-12T00:00:00"/>
    <s v=""/>
    <m/>
    <m/>
    <m/>
    <s v="OK"/>
  </r>
  <r>
    <s v="086666"/>
    <s v="Pignon 40 dents"/>
    <x v="8"/>
    <m/>
    <n v="2"/>
    <m/>
    <m/>
    <m/>
    <m/>
    <m/>
    <m/>
    <s v="pignon"/>
    <s v="NUMEC"/>
    <m/>
    <n v="100"/>
    <x v="31"/>
    <n v="0"/>
    <n v="10"/>
    <n v="70"/>
    <n v="140"/>
    <n v="140"/>
    <n v="48"/>
    <n v="28"/>
    <d v="2024-09-09T00:00:00"/>
    <s v=""/>
    <m/>
    <m/>
    <m/>
    <s v="OK"/>
  </r>
  <r>
    <s v="900000_C0019"/>
    <s v="Palier à semelle avec serrage"/>
    <x v="8"/>
    <m/>
    <n v="1"/>
    <m/>
    <m/>
    <m/>
    <m/>
    <m/>
    <m/>
    <s v="commerce"/>
    <s v="MISUMI"/>
    <s v="LHBLWC30 "/>
    <m/>
    <x v="31"/>
    <n v="0"/>
    <n v="2"/>
    <n v="14"/>
    <n v="20"/>
    <n v="20"/>
    <n v="8"/>
    <n v="8"/>
    <d v="2024-04-22T00:00:00"/>
    <s v=""/>
    <m/>
    <m/>
    <m/>
    <s v="OK"/>
  </r>
  <r>
    <s v="900000_C0096"/>
    <s v="levier de serrage M5 R45"/>
    <x v="8"/>
    <m/>
    <n v="2"/>
    <m/>
    <m/>
    <m/>
    <m/>
    <m/>
    <m/>
    <s v="commerce"/>
    <s v="MISUMI"/>
    <s v="GN 300-45-M5-OS"/>
    <m/>
    <x v="31"/>
    <n v="0"/>
    <n v="2"/>
    <n v="14"/>
    <n v="40"/>
    <n v="40"/>
    <n v="16"/>
    <n v="8"/>
    <d v="2024-04-22T00:00:00"/>
    <s v=""/>
    <m/>
    <m/>
    <m/>
    <s v="OK"/>
  </r>
  <r>
    <s v="900000_C0018"/>
    <s v="Palier à semelle avec serrage"/>
    <x v="8"/>
    <m/>
    <n v="1"/>
    <m/>
    <m/>
    <m/>
    <m/>
    <m/>
    <m/>
    <s v="commerce"/>
    <s v="MISUMI"/>
    <s v="LHBBWC30"/>
    <m/>
    <x v="31"/>
    <n v="0"/>
    <n v="2"/>
    <n v="14"/>
    <n v="20"/>
    <n v="20"/>
    <n v="8"/>
    <n v="8"/>
    <d v="2024-04-22T00:00:00"/>
    <s v=""/>
    <m/>
    <m/>
    <m/>
    <s v="OK"/>
  </r>
  <r>
    <s v="900000_C0069"/>
    <s v="Bride d'arbre Ø30"/>
    <x v="8"/>
    <m/>
    <n v="2"/>
    <m/>
    <m/>
    <m/>
    <m/>
    <m/>
    <m/>
    <s v="commerce"/>
    <s v="INA"/>
    <s v="SK30"/>
    <m/>
    <x v="31"/>
    <n v="0"/>
    <n v="2"/>
    <n v="14"/>
    <n v="40"/>
    <n v="40"/>
    <n v="16"/>
    <n v="8"/>
    <d v="2024-04-22T00:00:00"/>
    <s v=""/>
    <m/>
    <m/>
    <m/>
    <s v="OK"/>
  </r>
  <r>
    <s v="900000_C0093"/>
    <s v="Rondelle en caoutchouc Ø60 ext Ø30 int ep 5mm (shore A70) avec adhesif"/>
    <x v="8"/>
    <m/>
    <n v="4"/>
    <m/>
    <m/>
    <m/>
    <m/>
    <m/>
    <m/>
    <s v="commerce"/>
    <s v="MISUMI"/>
    <s v="WRBNA60-30-5"/>
    <m/>
    <x v="31"/>
    <n v="0"/>
    <n v="2"/>
    <n v="14"/>
    <n v="80"/>
    <n v="80"/>
    <n v="32"/>
    <n v="8"/>
    <d v="2024-04-22T00:00:00"/>
    <s v=""/>
    <m/>
    <m/>
    <m/>
    <s v="OK"/>
  </r>
  <r>
    <s v="086448"/>
    <s v="Axe épaulé Ø30 v2 - DRIPO 3X"/>
    <x v="8"/>
    <m/>
    <n v="2"/>
    <m/>
    <m/>
    <m/>
    <m/>
    <m/>
    <m/>
    <s v="commerce"/>
    <s v="MISUMI"/>
    <s v="PSFAG30-923-F38-P25-M16"/>
    <n v="60"/>
    <x v="48"/>
    <n v="130.02000000000001"/>
    <n v="2"/>
    <n v="14"/>
    <n v="40"/>
    <n v="40"/>
    <n v="16"/>
    <n v="8"/>
    <d v="2024-04-22T00:00:00"/>
    <s v=""/>
    <m/>
    <m/>
    <m/>
    <s v="OK"/>
  </r>
  <r>
    <s v="086574"/>
    <s v="Plaque identification'…."/>
    <x v="8"/>
    <m/>
    <m/>
    <n v="1"/>
    <m/>
    <m/>
    <m/>
    <m/>
    <m/>
    <s v="signalitique"/>
    <s v="ISE Impressions"/>
    <m/>
    <m/>
    <x v="47"/>
    <n v="0.65"/>
    <n v="2"/>
    <n v="14"/>
    <n v="0"/>
    <n v="0"/>
    <n v="8"/>
    <n v="0"/>
    <d v="2024-02-26T00:00:00"/>
    <s v="A COMMANDER"/>
    <m/>
    <m/>
    <m/>
    <s v="OK"/>
  </r>
  <r>
    <s v="086571"/>
    <s v="SKI CENTRAL"/>
    <x v="8"/>
    <m/>
    <m/>
    <n v="1"/>
    <m/>
    <m/>
    <m/>
    <m/>
    <m/>
    <s v="pièce finie"/>
    <s v="SIMETAL"/>
    <m/>
    <n v="30"/>
    <x v="49"/>
    <n v="37.68"/>
    <n v="12"/>
    <n v="84"/>
    <n v="20"/>
    <n v="20"/>
    <n v="28"/>
    <n v="8"/>
    <d v="2024-04-22T00:00:00"/>
    <s v="A COMMANDER"/>
    <m/>
    <m/>
    <m/>
    <s v="OK"/>
  </r>
  <r>
    <s v="086576"/>
    <s v="Coupe Transversale - DIPRO 3x HA"/>
    <x v="8"/>
    <m/>
    <m/>
    <m/>
    <m/>
    <m/>
    <m/>
    <n v="1"/>
    <m/>
    <s v="pièce finie"/>
    <s v="SIMETAL"/>
    <m/>
    <n v="30"/>
    <x v="50"/>
    <n v="452.88333333333333"/>
    <n v="12"/>
    <n v="84"/>
    <n v="60"/>
    <n v="60"/>
    <n v="28"/>
    <n v="24"/>
    <d v="2024-08-12T00:00:00"/>
    <s v=""/>
    <m/>
    <m/>
    <m/>
    <s v="OK"/>
  </r>
  <r>
    <s v="086578"/>
    <s v="Plaque identification 70 x 20 mm coupe - DIPRO 3x"/>
    <x v="8"/>
    <m/>
    <m/>
    <m/>
    <m/>
    <m/>
    <m/>
    <n v="1"/>
    <m/>
    <s v="signalitique"/>
    <s v="ISE Impressions"/>
    <m/>
    <m/>
    <x v="47"/>
    <n v="0.65"/>
    <n v="2"/>
    <n v="14"/>
    <n v="0"/>
    <n v="0"/>
    <n v="8"/>
    <n v="0"/>
    <d v="2024-02-26T00:00:00"/>
    <s v="A COMMANDER"/>
    <m/>
    <m/>
    <m/>
    <s v="OK"/>
  </r>
  <r>
    <s v="086674"/>
    <s v="Plaque identification 150x50 mm - Logo DIPRO 3x"/>
    <x v="8"/>
    <n v="1"/>
    <m/>
    <m/>
    <m/>
    <m/>
    <m/>
    <m/>
    <m/>
    <s v="signalitique"/>
    <s v="ISE Impressions"/>
    <m/>
    <n v="120"/>
    <x v="51"/>
    <n v="1.5"/>
    <n v="2"/>
    <n v="14"/>
    <n v="5"/>
    <n v="5"/>
    <n v="8"/>
    <n v="2"/>
    <d v="2024-03-11T00:00:00"/>
    <s v="A COMMANDER"/>
    <m/>
    <m/>
    <m/>
    <s v="OK"/>
  </r>
  <r>
    <s v="086652"/>
    <s v="Tole inférieure train fixe DIPRO 3x"/>
    <x v="8"/>
    <n v="1"/>
    <m/>
    <m/>
    <m/>
    <m/>
    <m/>
    <m/>
    <m/>
    <s v="tolerie"/>
    <s v="ROBIN"/>
    <m/>
    <n v="20"/>
    <x v="5"/>
    <n v="20.41"/>
    <n v="12"/>
    <n v="84"/>
    <n v="5"/>
    <n v="5"/>
    <n v="28"/>
    <n v="2"/>
    <d v="2024-03-11T00:00:00"/>
    <s v="A COMMANDER"/>
    <n v="20"/>
    <s v="D12401ACN00105"/>
    <d v="2024-03-15T00:00:00"/>
    <s v="RUPTURE"/>
  </r>
  <r>
    <s v="086653"/>
    <s v="Tole supérieur train fixe DIPRO 3x"/>
    <x v="8"/>
    <n v="1"/>
    <m/>
    <m/>
    <m/>
    <m/>
    <m/>
    <m/>
    <m/>
    <s v="tolerie"/>
    <s v="ROBIN"/>
    <m/>
    <n v="20"/>
    <x v="6"/>
    <n v="112.47"/>
    <n v="12"/>
    <n v="84"/>
    <n v="5"/>
    <n v="5"/>
    <n v="28"/>
    <n v="2"/>
    <d v="2024-03-11T00:00:00"/>
    <s v="A COMMANDER"/>
    <n v="20"/>
    <s v="D12401ACN00105"/>
    <d v="2024-03-15T00:00:00"/>
    <s v="RUPTURE"/>
  </r>
  <r>
    <s v="015"/>
    <s v="Station Galet fixe sup A"/>
    <x v="8"/>
    <n v="1"/>
    <m/>
    <m/>
    <m/>
    <m/>
    <m/>
    <m/>
    <m/>
    <s v="tournage montage"/>
    <s v="ASM2"/>
    <m/>
    <n v="20"/>
    <x v="52"/>
    <n v="91.34"/>
    <n v="7"/>
    <n v="49"/>
    <n v="5"/>
    <n v="5"/>
    <n v="18"/>
    <n v="2"/>
    <d v="2024-03-11T00:00:00"/>
    <s v="A COMMANDER"/>
    <n v="20"/>
    <s v="D12401ACN00035"/>
    <d v="2024-03-31T00:00:00"/>
    <s v="RUPTURE"/>
  </r>
  <r>
    <s v="016"/>
    <s v="Station Galet fixe sup B"/>
    <x v="8"/>
    <n v="1"/>
    <m/>
    <m/>
    <m/>
    <m/>
    <m/>
    <m/>
    <m/>
    <s v="tournage montage"/>
    <s v="ASM2"/>
    <m/>
    <n v="20"/>
    <x v="53"/>
    <n v="88.24"/>
    <n v="7"/>
    <n v="49"/>
    <n v="5"/>
    <n v="5"/>
    <n v="18"/>
    <n v="2"/>
    <d v="2024-03-11T00:00:00"/>
    <s v="A COMMANDER"/>
    <n v="20"/>
    <s v="D12401ACN00035"/>
    <d v="2024-03-31T00:00:00"/>
    <s v="RUPTURE"/>
  </r>
  <r>
    <s v="017"/>
    <s v="Station Galet fixe sup C"/>
    <x v="8"/>
    <n v="1"/>
    <m/>
    <m/>
    <m/>
    <m/>
    <m/>
    <m/>
    <m/>
    <s v="tournage montage"/>
    <s v="ASM2"/>
    <m/>
    <n v="20"/>
    <x v="54"/>
    <n v="81.740000000000009"/>
    <n v="7"/>
    <n v="49"/>
    <n v="5"/>
    <n v="5"/>
    <n v="18"/>
    <n v="2"/>
    <d v="2024-03-11T00:00:00"/>
    <s v="A COMMANDER"/>
    <n v="20"/>
    <s v="D12401ACN00035"/>
    <d v="2024-03-31T00:00:00"/>
    <s v="RUPTURE"/>
  </r>
  <r>
    <s v="018"/>
    <s v="Station Galet fixe sup D"/>
    <x v="8"/>
    <n v="1"/>
    <m/>
    <m/>
    <m/>
    <m/>
    <m/>
    <m/>
    <m/>
    <s v="tournage montage"/>
    <s v="ASM2"/>
    <m/>
    <n v="20"/>
    <x v="55"/>
    <n v="79.240000000000009"/>
    <n v="7"/>
    <n v="49"/>
    <n v="5"/>
    <n v="5"/>
    <n v="18"/>
    <n v="2"/>
    <d v="2024-03-11T00:00:00"/>
    <s v="A COMMANDER"/>
    <n v="20"/>
    <s v="D12401ACN00035"/>
    <d v="2024-03-31T00:00:00"/>
    <s v="RUPTURE"/>
  </r>
  <r>
    <s v="019"/>
    <s v="Station Galet fixe sup E"/>
    <x v="8"/>
    <n v="1"/>
    <m/>
    <m/>
    <m/>
    <m/>
    <m/>
    <m/>
    <m/>
    <s v="tournage montage"/>
    <s v="ASM2"/>
    <m/>
    <n v="20"/>
    <x v="56"/>
    <n v="74.64"/>
    <n v="7"/>
    <n v="49"/>
    <n v="5"/>
    <n v="5"/>
    <n v="18"/>
    <n v="2"/>
    <d v="2024-03-11T00:00:00"/>
    <s v="A COMMANDER"/>
    <n v="20"/>
    <s v="D12401ACN00035"/>
    <d v="2024-03-31T00:00:00"/>
    <s v="RUPTURE"/>
  </r>
  <r>
    <s v="020"/>
    <s v="Station Galet fixe sup F"/>
    <x v="8"/>
    <n v="1"/>
    <m/>
    <m/>
    <m/>
    <m/>
    <m/>
    <m/>
    <m/>
    <s v="tournage montage"/>
    <s v="ASM2"/>
    <m/>
    <n v="20"/>
    <x v="57"/>
    <n v="71.539999999999992"/>
    <n v="7"/>
    <n v="49"/>
    <n v="5"/>
    <n v="5"/>
    <n v="18"/>
    <n v="2"/>
    <d v="2024-03-11T00:00:00"/>
    <s v="A COMMANDER"/>
    <n v="20"/>
    <s v="D12401ACN00035"/>
    <d v="2024-03-31T00:00:00"/>
    <s v="RUPTURE"/>
  </r>
  <r>
    <s v="021"/>
    <s v="Station Galet fixe sup G"/>
    <x v="8"/>
    <n v="1"/>
    <m/>
    <m/>
    <m/>
    <m/>
    <m/>
    <m/>
    <m/>
    <s v="tournage montage"/>
    <s v="ASM2"/>
    <m/>
    <n v="20"/>
    <x v="58"/>
    <n v="71.039999999999992"/>
    <n v="7"/>
    <n v="49"/>
    <n v="5"/>
    <n v="5"/>
    <n v="18"/>
    <n v="2"/>
    <d v="2024-03-11T00:00:00"/>
    <s v="A COMMANDER"/>
    <n v="20"/>
    <s v="D12401ACN00035"/>
    <d v="2024-03-31T00:00:00"/>
    <s v="RUPTURE"/>
  </r>
  <r>
    <s v="022"/>
    <s v="Station Galet fixe inf A"/>
    <x v="8"/>
    <n v="1"/>
    <m/>
    <m/>
    <m/>
    <m/>
    <m/>
    <m/>
    <m/>
    <s v="tournage montage"/>
    <s v="ASM2"/>
    <m/>
    <n v="20"/>
    <x v="59"/>
    <n v="105.5"/>
    <n v="7"/>
    <n v="49"/>
    <n v="5"/>
    <n v="5"/>
    <n v="18"/>
    <n v="2"/>
    <d v="2024-03-11T00:00:00"/>
    <s v="A COMMANDER"/>
    <n v="20"/>
    <s v="D12401ACN00035"/>
    <d v="2024-03-31T00:00:00"/>
    <s v="RUPTURE"/>
  </r>
  <r>
    <s v="023"/>
    <s v="Station Galet fixe inf B"/>
    <x v="8"/>
    <n v="1"/>
    <m/>
    <m/>
    <m/>
    <m/>
    <m/>
    <m/>
    <m/>
    <s v="tournage montage"/>
    <s v="ASM2"/>
    <m/>
    <n v="20"/>
    <x v="60"/>
    <n v="107.5"/>
    <n v="7"/>
    <n v="49"/>
    <n v="5"/>
    <n v="5"/>
    <n v="18"/>
    <n v="2"/>
    <d v="2024-03-11T00:00:00"/>
    <s v="A COMMANDER"/>
    <n v="20"/>
    <s v="D12401ACN00035"/>
    <d v="2024-03-31T00:00:00"/>
    <s v="RUPTURE"/>
  </r>
  <r>
    <s v="024"/>
    <s v="Station Galet fixe inf C"/>
    <x v="8"/>
    <n v="1"/>
    <m/>
    <m/>
    <m/>
    <m/>
    <m/>
    <m/>
    <m/>
    <s v="tournage montage"/>
    <s v="ASM2"/>
    <m/>
    <n v="20"/>
    <x v="61"/>
    <n v="109.5"/>
    <n v="7"/>
    <n v="49"/>
    <n v="5"/>
    <n v="5"/>
    <n v="18"/>
    <n v="2"/>
    <d v="2024-03-11T00:00:00"/>
    <s v="A COMMANDER"/>
    <n v="20"/>
    <s v="D12401ACN00035"/>
    <d v="2024-03-31T00:00:00"/>
    <s v="RUPTURE"/>
  </r>
  <r>
    <s v="025"/>
    <s v="Station Galet fixe inf D"/>
    <x v="8"/>
    <n v="1"/>
    <m/>
    <m/>
    <m/>
    <m/>
    <m/>
    <m/>
    <m/>
    <s v="tournage montage"/>
    <s v="ASM2"/>
    <m/>
    <n v="20"/>
    <x v="60"/>
    <n v="107.5"/>
    <n v="7"/>
    <n v="49"/>
    <n v="5"/>
    <n v="5"/>
    <n v="18"/>
    <n v="2"/>
    <d v="2024-03-11T00:00:00"/>
    <s v="A COMMANDER"/>
    <n v="20"/>
    <s v="D12401ACN00035"/>
    <d v="2024-03-31T00:00:00"/>
    <s v="RUPTURE"/>
  </r>
  <r>
    <s v="026"/>
    <s v="Station Galet fixe inf E"/>
    <x v="8"/>
    <n v="1"/>
    <m/>
    <m/>
    <m/>
    <m/>
    <m/>
    <m/>
    <m/>
    <s v="tournage montage"/>
    <s v="ASM2"/>
    <m/>
    <n v="20"/>
    <x v="62"/>
    <n v="105"/>
    <n v="7"/>
    <n v="49"/>
    <n v="5"/>
    <n v="5"/>
    <n v="18"/>
    <n v="2"/>
    <d v="2024-03-11T00:00:00"/>
    <s v="A COMMANDER"/>
    <n v="20"/>
    <s v="D12401ACN00035"/>
    <d v="2024-03-31T00:00:00"/>
    <s v="RUPTURE"/>
  </r>
  <r>
    <s v="027"/>
    <s v="Station Galet fixe inf F"/>
    <x v="8"/>
    <n v="1"/>
    <m/>
    <m/>
    <m/>
    <m/>
    <m/>
    <m/>
    <m/>
    <s v="tournage montage"/>
    <s v="ASM2"/>
    <m/>
    <n v="20"/>
    <x v="63"/>
    <n v="98"/>
    <n v="7"/>
    <n v="49"/>
    <n v="5"/>
    <n v="5"/>
    <n v="18"/>
    <n v="2"/>
    <d v="2024-03-11T00:00:00"/>
    <s v="A COMMANDER"/>
    <n v="20"/>
    <s v="D12401ACN00035"/>
    <d v="2024-03-31T00:00:00"/>
    <s v="RUPTURE"/>
  </r>
  <r>
    <s v="028"/>
    <s v="Station Galet fixe inf G"/>
    <x v="8"/>
    <n v="1"/>
    <m/>
    <m/>
    <m/>
    <m/>
    <m/>
    <m/>
    <m/>
    <s v="tournage montage"/>
    <s v="ASM2"/>
    <m/>
    <n v="20"/>
    <x v="64"/>
    <n v="97.5"/>
    <n v="7"/>
    <n v="49"/>
    <n v="5"/>
    <n v="5"/>
    <n v="18"/>
    <n v="2"/>
    <d v="2024-03-11T00:00:00"/>
    <s v="A COMMANDER"/>
    <n v="20"/>
    <s v="D12401ACN00035"/>
    <d v="2024-03-31T00:00:00"/>
    <s v="RUPTURE"/>
  </r>
  <r>
    <s v="086505"/>
    <s v="Bloc Alu Train Fixe Assemblé"/>
    <x v="8"/>
    <n v="1"/>
    <m/>
    <m/>
    <m/>
    <m/>
    <m/>
    <m/>
    <m/>
    <s v="tournage montage"/>
    <s v="MECADYNAMIC"/>
    <m/>
    <n v="20"/>
    <x v="65"/>
    <n v="314.83"/>
    <n v="7"/>
    <n v="49"/>
    <n v="5"/>
    <n v="5"/>
    <n v="18"/>
    <n v="2"/>
    <d v="2024-03-11T00:00:00"/>
    <s v="A COMMANDER"/>
    <n v="20"/>
    <s v="D12402ACN00121"/>
    <d v="2024-02-29T00:00:00"/>
    <s v="OK"/>
  </r>
  <r>
    <n v="100110"/>
    <s v="Pion de verrouillage"/>
    <x v="8"/>
    <n v="1"/>
    <m/>
    <m/>
    <m/>
    <m/>
    <m/>
    <m/>
    <m/>
    <s v="commerce"/>
    <s v="MISUMI"/>
    <s v="K1564.16"/>
    <n v="20"/>
    <x v="66"/>
    <n v="4.4400000000000004"/>
    <n v="3"/>
    <n v="21"/>
    <n v="5"/>
    <n v="5"/>
    <n v="10"/>
    <n v="2"/>
    <d v="2024-03-11T00:00:00"/>
    <s v="A COMMANDER"/>
    <m/>
    <m/>
    <m/>
    <s v="OK"/>
  </r>
  <r>
    <n v="100111"/>
    <s v="Circlips Intérieur Ø32 acier brut"/>
    <x v="8"/>
    <n v="6"/>
    <m/>
    <m/>
    <m/>
    <m/>
    <m/>
    <m/>
    <m/>
    <s v="commerce"/>
    <s v="NEWLEAU"/>
    <s v="472INTBR-32X1.2/200"/>
    <n v="200"/>
    <x v="67"/>
    <n v="0.51600000000000001"/>
    <n v="2"/>
    <n v="14"/>
    <n v="30"/>
    <n v="30"/>
    <n v="48"/>
    <n v="2"/>
    <d v="2024-03-11T00:00:00"/>
    <s v="A COMMANDER"/>
    <m/>
    <m/>
    <m/>
    <s v="OK"/>
  </r>
  <r>
    <s v="086500"/>
    <s v="Avaloir"/>
    <x v="8"/>
    <n v="1"/>
    <m/>
    <m/>
    <m/>
    <m/>
    <m/>
    <m/>
    <m/>
    <s v="tolerie montage"/>
    <s v="ROBIN"/>
    <m/>
    <n v="20"/>
    <x v="68"/>
    <n v="409.32"/>
    <n v="7"/>
    <n v="49"/>
    <n v="5"/>
    <n v="5"/>
    <n v="18"/>
    <n v="2"/>
    <d v="2024-03-11T00:00:00"/>
    <s v="A COMMANDER"/>
    <n v="20"/>
    <s v="D12401ACN00121"/>
    <d v="2024-03-27T00:00:00"/>
    <s v="RUPTURE"/>
  </r>
  <r>
    <s v="086516"/>
    <s v="guide de sortie fixe"/>
    <x v="8"/>
    <n v="1"/>
    <m/>
    <m/>
    <m/>
    <m/>
    <m/>
    <m/>
    <m/>
    <s v="tolerie montage"/>
    <s v="SOFRAPI"/>
    <m/>
    <n v="20"/>
    <x v="69"/>
    <n v="44.8"/>
    <n v="5"/>
    <n v="35"/>
    <n v="5"/>
    <n v="5"/>
    <n v="14"/>
    <n v="2"/>
    <d v="2024-03-11T00:00:00"/>
    <s v="A COMMANDER"/>
    <n v="20"/>
    <s v="D12401ACN00103"/>
    <d v="2024-02-23T00:00:00"/>
    <s v="OK"/>
  </r>
  <r>
    <s v="086527"/>
    <s v="Ensemble rail fixe"/>
    <x v="8"/>
    <n v="1"/>
    <m/>
    <m/>
    <m/>
    <m/>
    <m/>
    <m/>
    <m/>
    <s v="tolerie montage"/>
    <s v="ROBIN"/>
    <m/>
    <n v="30"/>
    <x v="40"/>
    <n v="69.569999999999993"/>
    <n v="7"/>
    <n v="49"/>
    <n v="5"/>
    <n v="5"/>
    <n v="18"/>
    <n v="2"/>
    <d v="2024-03-11T00:00:00"/>
    <s v="A COMMANDER"/>
    <n v="30"/>
    <s v="D12401ACN00089"/>
    <d v="2024-02-29T00:00:00"/>
    <s v="OK"/>
  </r>
  <r>
    <s v="086909"/>
    <s v="Rondelle Plate étroite 8.6x16X1.5 - NFE 25513 série Z8 Inox A2"/>
    <x v="8"/>
    <n v="2"/>
    <m/>
    <m/>
    <n v="16"/>
    <n v="16"/>
    <m/>
    <m/>
    <m/>
    <s v="visserie"/>
    <s v="NEWLEAU"/>
    <s v="RONDA2Z8 "/>
    <n v="200"/>
    <x v="70"/>
    <n v="0.2414"/>
    <n v="2"/>
    <n v="14"/>
    <n v="10"/>
    <n v="10"/>
    <m/>
    <m/>
    <m/>
    <s v=""/>
    <m/>
    <m/>
    <m/>
    <s v="RUPTURE"/>
  </r>
  <r>
    <s v="005942"/>
    <s v="Ecrou inox A2 - A2 stainless steel Nut H M6"/>
    <x v="8"/>
    <n v="2"/>
    <m/>
    <m/>
    <m/>
    <m/>
    <m/>
    <m/>
    <m/>
    <s v="visserie"/>
    <s v="NEWLEAU"/>
    <s v="934A2M6 "/>
    <n v="200"/>
    <x v="71"/>
    <n v="2.12E-2"/>
    <n v="2"/>
    <n v="14"/>
    <n v="10"/>
    <n v="10"/>
    <m/>
    <m/>
    <m/>
    <s v=""/>
    <m/>
    <m/>
    <m/>
    <s v="RUPTURE"/>
  </r>
  <r>
    <n v="100100"/>
    <s v="MOTEUR 110V/60HZ 6M 90S4 1.1KW P4 B14 TS - Dipro D3x"/>
    <x v="8"/>
    <m/>
    <m/>
    <m/>
    <n v="1"/>
    <m/>
    <m/>
    <m/>
    <m/>
    <s v="moteur"/>
    <s v="RR France"/>
    <s v="1Q0901T20ATS"/>
    <n v="5"/>
    <x v="72"/>
    <n v="290"/>
    <n v="24"/>
    <n v="168"/>
    <n v="32"/>
    <m/>
    <n v="52"/>
    <n v="0"/>
    <d v="2024-02-26T00:00:00"/>
    <s v="A COMMANDER"/>
    <m/>
    <m/>
    <m/>
    <s v="OK"/>
  </r>
  <r>
    <n v="100101"/>
    <s v="REDUCTEUR CMB 633 U 1/33.81 D25 IEC90B14 - Dipro D3x"/>
    <x v="8"/>
    <m/>
    <m/>
    <m/>
    <n v="1"/>
    <n v="1"/>
    <m/>
    <m/>
    <m/>
    <s v="moteur"/>
    <s v="RR France"/>
    <s v="CMB633U33D2590B1"/>
    <n v="28"/>
    <x v="73"/>
    <n v="700"/>
    <n v="24"/>
    <n v="168"/>
    <n v="28"/>
    <m/>
    <n v="104"/>
    <n v="0"/>
    <d v="2024-02-26T00:00:00"/>
    <s v="A COMMANDER"/>
    <m/>
    <m/>
    <m/>
    <s v="OK"/>
  </r>
  <r>
    <n v="100102"/>
    <s v="Prise 110v - Dipro D3X"/>
    <x v="8"/>
    <m/>
    <m/>
    <m/>
    <n v="1"/>
    <m/>
    <m/>
    <m/>
    <m/>
    <s v="commerce"/>
    <s v="YESS ELECTRIQUE"/>
    <s v="60001H"/>
    <m/>
    <x v="74"/>
    <n v="7.28"/>
    <n v="2"/>
    <n v="14"/>
    <n v="49"/>
    <m/>
    <n v="8"/>
    <n v="0"/>
    <d v="2024-02-26T00:00:00"/>
    <s v="A COMMANDER"/>
    <m/>
    <m/>
    <m/>
    <s v="OK"/>
  </r>
  <r>
    <n v="100103"/>
    <s v="Support prise 110v - Dipro D3X"/>
    <x v="8"/>
    <m/>
    <m/>
    <m/>
    <n v="1"/>
    <m/>
    <m/>
    <m/>
    <m/>
    <s v="commerce"/>
    <s v="YESS ELECTRIQUE"/>
    <n v="33435046"/>
    <m/>
    <x v="75"/>
    <n v="1.9"/>
    <n v="2"/>
    <n v="14"/>
    <n v="50"/>
    <m/>
    <n v="8"/>
    <n v="0"/>
    <d v="2024-02-26T00:00:00"/>
    <s v="A COMMANDER"/>
    <m/>
    <m/>
    <m/>
    <s v="OK"/>
  </r>
  <r>
    <n v="100104"/>
    <s v="Poignée noire Ens Moteur - Dipro D3X"/>
    <x v="8"/>
    <m/>
    <m/>
    <m/>
    <n v="1"/>
    <n v="1"/>
    <m/>
    <m/>
    <m/>
    <s v="commerce"/>
    <s v="MISUMI"/>
    <s v="728-120-A-SW"/>
    <m/>
    <x v="76"/>
    <n v="15.26"/>
    <n v="2"/>
    <n v="14"/>
    <n v="9"/>
    <n v="9"/>
    <n v="16"/>
    <n v="1.8"/>
    <d v="2024-03-09T14:24:00"/>
    <s v="A COMMANDER"/>
    <m/>
    <m/>
    <m/>
    <s v="OK"/>
  </r>
  <r>
    <s v="005943"/>
    <s v="Vis CHC M4x16 - DIN 912 Inox A2"/>
    <x v="8"/>
    <m/>
    <m/>
    <m/>
    <n v="3"/>
    <n v="3"/>
    <m/>
    <m/>
    <m/>
    <s v="visserie"/>
    <m/>
    <m/>
    <m/>
    <x v="31"/>
    <n v="0"/>
    <n v="2"/>
    <n v="14"/>
    <m/>
    <m/>
    <m/>
    <m/>
    <m/>
    <s v=""/>
    <m/>
    <m/>
    <m/>
    <s v="RUPTURE"/>
  </r>
  <r>
    <s v="086675"/>
    <s v="Plaque  identification 70 x 20 mm &quot;Norme CE&quot; - DIPRO 3x"/>
    <x v="8"/>
    <m/>
    <m/>
    <m/>
    <n v="1"/>
    <n v="1"/>
    <m/>
    <m/>
    <m/>
    <s v="signalitique"/>
    <s v="ISE Impressions"/>
    <m/>
    <n v="60"/>
    <x v="29"/>
    <n v="2.4"/>
    <n v="2"/>
    <n v="14"/>
    <n v="72"/>
    <m/>
    <n v="16"/>
    <n v="0"/>
    <d v="2024-02-26T00:00:00"/>
    <s v="A COMMANDER"/>
    <m/>
    <m/>
    <m/>
    <s v="OK"/>
  </r>
  <r>
    <s v="086677"/>
    <s v="Kit electrique équipé 110 / 230V 0.75 Kw mono - DIRPO 3x"/>
    <x v="8"/>
    <m/>
    <m/>
    <m/>
    <n v="1"/>
    <n v="1"/>
    <m/>
    <m/>
    <m/>
    <s v="Elec"/>
    <s v="SAGELEC"/>
    <m/>
    <m/>
    <x v="77"/>
    <n v="1650"/>
    <n v="6"/>
    <n v="42"/>
    <n v="25"/>
    <n v="25"/>
    <n v="32"/>
    <n v="5"/>
    <d v="2024-04-01T00:00:00"/>
    <s v="A COMMANDER"/>
    <m/>
    <m/>
    <m/>
    <s v="OK"/>
  </r>
  <r>
    <s v="086679"/>
    <s v="Plaque identification 70 x 20 mm n° Série Kit elec 110 v - DIPRO 3x"/>
    <x v="8"/>
    <m/>
    <m/>
    <m/>
    <n v="1"/>
    <m/>
    <m/>
    <m/>
    <m/>
    <s v="signalitique"/>
    <s v="ISE Impressions"/>
    <m/>
    <n v="60"/>
    <x v="29"/>
    <n v="1.2"/>
    <n v="2"/>
    <n v="14"/>
    <n v="0"/>
    <m/>
    <n v="8"/>
    <n v="0"/>
    <d v="2024-02-26T00:00:00"/>
    <s v="A COMMANDER"/>
    <m/>
    <m/>
    <m/>
    <s v="OK"/>
  </r>
  <r>
    <s v="086734"/>
    <s v="Support boitier electrique - DIPRO 3x"/>
    <x v="8"/>
    <m/>
    <m/>
    <m/>
    <n v="1"/>
    <n v="1"/>
    <m/>
    <m/>
    <m/>
    <s v="tolerie"/>
    <s v="COMO"/>
    <m/>
    <n v="30"/>
    <x v="78"/>
    <n v="57.14"/>
    <n v="3"/>
    <n v="21"/>
    <n v="7"/>
    <n v="7"/>
    <n v="20"/>
    <n v="1.4"/>
    <d v="2024-03-06T19:12:00"/>
    <s v="A COMMANDER"/>
    <m/>
    <m/>
    <m/>
    <s v="OK"/>
  </r>
  <r>
    <s v="086736"/>
    <s v="Support moteur - DIPRO 3x"/>
    <x v="8"/>
    <m/>
    <m/>
    <m/>
    <n v="1"/>
    <n v="1"/>
    <m/>
    <m/>
    <m/>
    <s v="tolerie"/>
    <s v="COMO"/>
    <m/>
    <n v="30"/>
    <x v="79"/>
    <n v="37.44"/>
    <n v="3"/>
    <n v="21"/>
    <n v="9"/>
    <n v="9"/>
    <n v="20"/>
    <n v="1.8"/>
    <d v="2024-03-09T14:24:00"/>
    <s v="A COMMANDER"/>
    <m/>
    <m/>
    <m/>
    <s v="OK"/>
  </r>
  <r>
    <s v="086904"/>
    <s v="Vis FHC M8x25 ISO 10642 Classe 8.8"/>
    <x v="8"/>
    <m/>
    <m/>
    <m/>
    <n v="4"/>
    <n v="4"/>
    <m/>
    <m/>
    <m/>
    <s v="visserie"/>
    <s v="NEWLEAU"/>
    <s v="7991A2-8X25"/>
    <m/>
    <x v="31"/>
    <n v="0"/>
    <n v="2"/>
    <n v="14"/>
    <m/>
    <m/>
    <m/>
    <m/>
    <m/>
    <s v=""/>
    <m/>
    <m/>
    <m/>
    <s v="RUPTURE"/>
  </r>
  <r>
    <s v="086907"/>
    <s v="Rondelle Plate étroite 4.5x8X0.8 - NFE 25513 serie Z4 Inox A2"/>
    <x v="8"/>
    <m/>
    <m/>
    <m/>
    <n v="3"/>
    <n v="3"/>
    <m/>
    <m/>
    <m/>
    <s v="visserie"/>
    <s v="NEWLEAU"/>
    <s v="RONDA2Z4"/>
    <m/>
    <x v="31"/>
    <n v="0"/>
    <n v="2"/>
    <n v="14"/>
    <m/>
    <m/>
    <m/>
    <m/>
    <m/>
    <s v=""/>
    <m/>
    <m/>
    <m/>
    <s v="RUPTURE"/>
  </r>
  <r>
    <s v="086910"/>
    <s v="Ecrou Frein 50 M4 - DIN 985 Inox A2"/>
    <x v="8"/>
    <m/>
    <m/>
    <m/>
    <n v="3"/>
    <n v="3"/>
    <m/>
    <m/>
    <m/>
    <s v="visserie"/>
    <s v="NEWLEAU"/>
    <s v="985A2M4"/>
    <m/>
    <x v="31"/>
    <n v="0"/>
    <n v="2"/>
    <n v="14"/>
    <m/>
    <m/>
    <m/>
    <m/>
    <m/>
    <s v=""/>
    <m/>
    <m/>
    <m/>
    <s v="RUPTURE"/>
  </r>
  <r>
    <s v="901146"/>
    <s v="ETIQUETTE PICTOGRAMME AUTOCOLLANTE DANGER ELECTRIQUE"/>
    <x v="8"/>
    <m/>
    <m/>
    <m/>
    <n v="1"/>
    <n v="1"/>
    <m/>
    <m/>
    <m/>
    <s v="signalitique"/>
    <s v="SETON"/>
    <s v="PD307 PLPIC50"/>
    <m/>
    <x v="80"/>
    <n v="3.38"/>
    <m/>
    <n v="0"/>
    <n v="999"/>
    <m/>
    <n v="8"/>
    <n v="0"/>
    <d v="2024-02-26T00:00:00"/>
    <s v="A COMMANDER"/>
    <m/>
    <m/>
    <m/>
    <s v="OK"/>
  </r>
  <r>
    <s v="030"/>
    <s v="Ecrou Inox A2 - A2 Stainless Steel Nut HM M8"/>
    <x v="8"/>
    <m/>
    <m/>
    <m/>
    <n v="10"/>
    <n v="10"/>
    <m/>
    <m/>
    <m/>
    <s v="visserie"/>
    <m/>
    <m/>
    <m/>
    <x v="31"/>
    <n v="0"/>
    <n v="2"/>
    <n v="14"/>
    <m/>
    <m/>
    <m/>
    <m/>
    <m/>
    <s v=""/>
    <m/>
    <m/>
    <m/>
    <s v="RUPTURE"/>
  </r>
  <r>
    <s v="033"/>
    <s v="Rivet TRS - D4 - L16"/>
    <x v="8"/>
    <m/>
    <m/>
    <m/>
    <n v="4"/>
    <n v="4"/>
    <m/>
    <m/>
    <m/>
    <s v="visserie"/>
    <m/>
    <m/>
    <m/>
    <x v="31"/>
    <n v="0"/>
    <n v="2"/>
    <n v="14"/>
    <m/>
    <m/>
    <m/>
    <m/>
    <m/>
    <s v=""/>
    <m/>
    <m/>
    <m/>
    <s v="RUPTURE"/>
  </r>
  <r>
    <n v="100105"/>
    <s v="MOTEUR 230V/50HZ 6M 90S4 1.1KW P4 B14 - Dipro D3x"/>
    <x v="8"/>
    <m/>
    <m/>
    <m/>
    <m/>
    <n v="1"/>
    <m/>
    <m/>
    <m/>
    <s v="moteur"/>
    <s v="RR France"/>
    <s v="1Q0901T20A"/>
    <n v="19"/>
    <x v="81"/>
    <n v="250"/>
    <n v="24"/>
    <n v="168"/>
    <n v="14"/>
    <m/>
    <n v="52"/>
    <n v="0"/>
    <d v="2024-02-26T00:00:00"/>
    <s v="A COMMANDER"/>
    <m/>
    <m/>
    <m/>
    <s v="OK"/>
  </r>
  <r>
    <n v="100106"/>
    <s v="Support prise 220v - Dipro D3x"/>
    <x v="8"/>
    <m/>
    <m/>
    <m/>
    <m/>
    <n v="1"/>
    <m/>
    <m/>
    <m/>
    <s v="commerce"/>
    <s v="YESS ELECTRIQUE"/>
    <n v="33435037"/>
    <m/>
    <x v="82"/>
    <n v="1.64"/>
    <n v="2"/>
    <n v="14"/>
    <n v="50"/>
    <m/>
    <n v="8"/>
    <n v="0"/>
    <d v="2024-02-26T00:00:00"/>
    <s v="A COMMANDER"/>
    <m/>
    <m/>
    <m/>
    <s v="OK"/>
  </r>
  <r>
    <s v="084994"/>
    <s v="Prise BALS 2P + T I/Extérieur Franco-Allemand pour  DIPRO P7200"/>
    <x v="8"/>
    <m/>
    <m/>
    <m/>
    <m/>
    <n v="1"/>
    <m/>
    <m/>
    <m/>
    <s v="commerce"/>
    <s v="YESS ELECTRIQUE"/>
    <n v="7372"/>
    <m/>
    <x v="83"/>
    <n v="6.73"/>
    <n v="2"/>
    <n v="14"/>
    <n v="70"/>
    <m/>
    <n v="8"/>
    <n v="0"/>
    <d v="2024-02-26T00:00:00"/>
    <s v="A COMMANDER"/>
    <m/>
    <m/>
    <m/>
    <s v="OK"/>
  </r>
  <r>
    <s v="086676"/>
    <s v="Plaque identification 70 x 20 mm n° Série Kit elec 230 v - DIPRO 3x"/>
    <x v="8"/>
    <m/>
    <m/>
    <m/>
    <m/>
    <n v="1"/>
    <m/>
    <m/>
    <m/>
    <s v="signalitique"/>
    <s v="ISE Impressions"/>
    <m/>
    <n v="60"/>
    <x v="84"/>
    <n v="0.9"/>
    <n v="2"/>
    <n v="14"/>
    <n v="127"/>
    <m/>
    <n v="8"/>
    <n v="0"/>
    <d v="2024-02-26T00:00:00"/>
    <s v="A COMMANDER"/>
    <m/>
    <m/>
    <m/>
    <s v="OK"/>
  </r>
  <r>
    <s v="032"/>
    <s v="Vis BHC M6x10 ISO 7380 inox Classe A2"/>
    <x v="8"/>
    <m/>
    <m/>
    <m/>
    <n v="2"/>
    <n v="2"/>
    <m/>
    <m/>
    <m/>
    <s v="visserie"/>
    <m/>
    <m/>
    <m/>
    <x v="31"/>
    <n v="0"/>
    <n v="2"/>
    <n v="14"/>
    <m/>
    <m/>
    <m/>
    <m/>
    <m/>
    <s v=""/>
    <m/>
    <m/>
    <m/>
    <s v="RUPTURE"/>
  </r>
  <r>
    <s v="031"/>
    <s v="Vis BHC M8x20 ISO 7380 inox Classe A2"/>
    <x v="8"/>
    <m/>
    <m/>
    <m/>
    <n v="6"/>
    <n v="6"/>
    <m/>
    <m/>
    <m/>
    <s v="visserie"/>
    <m/>
    <m/>
    <m/>
    <x v="31"/>
    <n v="0"/>
    <n v="2"/>
    <n v="14"/>
    <m/>
    <m/>
    <m/>
    <m/>
    <m/>
    <s v=""/>
    <m/>
    <m/>
    <m/>
    <s v="RUPTURE"/>
  </r>
  <r>
    <s v="086884"/>
    <s v="Plaque identification 70 x 20 mm Ensemble Codeur - DIPRO 3x"/>
    <x v="8"/>
    <m/>
    <m/>
    <m/>
    <m/>
    <m/>
    <m/>
    <m/>
    <n v="1"/>
    <s v="signalitique"/>
    <s v="ISE Impressions"/>
    <m/>
    <n v="60"/>
    <x v="47"/>
    <n v="0.65"/>
    <n v="2"/>
    <n v="14"/>
    <n v="60"/>
    <m/>
    <n v="8"/>
    <n v="0"/>
    <d v="2024-02-26T00:00:00"/>
    <s v="A COMMANDER"/>
    <m/>
    <m/>
    <m/>
    <s v="OK"/>
  </r>
  <r>
    <s v="086886"/>
    <s v="Support codeur - D3x"/>
    <x v="8"/>
    <m/>
    <m/>
    <m/>
    <m/>
    <m/>
    <m/>
    <m/>
    <n v="1"/>
    <s v="usinage"/>
    <s v="ASM2"/>
    <m/>
    <n v="60"/>
    <x v="85"/>
    <n v="13"/>
    <n v="5"/>
    <n v="35"/>
    <n v="60"/>
    <m/>
    <n v="14"/>
    <n v="0"/>
    <d v="2024-02-26T00:00:00"/>
    <s v="A COMMANDER"/>
    <m/>
    <m/>
    <m/>
    <s v="OK"/>
  </r>
  <r>
    <s v="086889"/>
    <s v="Cartérisation codeur - D3x"/>
    <x v="8"/>
    <m/>
    <m/>
    <m/>
    <m/>
    <m/>
    <m/>
    <m/>
    <n v="1"/>
    <s v="tolerie"/>
    <s v="COMO"/>
    <m/>
    <n v="60"/>
    <x v="86"/>
    <n v="16.09"/>
    <n v="5"/>
    <n v="35"/>
    <n v="60"/>
    <m/>
    <n v="14"/>
    <n v="0"/>
    <d v="2024-02-26T00:00:00"/>
    <s v="A COMMANDER"/>
    <m/>
    <m/>
    <m/>
    <s v="OK"/>
  </r>
  <r>
    <s v="086883"/>
    <s v="Entretoise Acier  Ø int. 5 / Ø ext. 6.5 / L 3.2 mm"/>
    <x v="8"/>
    <m/>
    <m/>
    <m/>
    <m/>
    <m/>
    <m/>
    <m/>
    <n v="4"/>
    <s v="usinage"/>
    <s v="ASM2"/>
    <m/>
    <n v="240"/>
    <x v="28"/>
    <n v="5.6"/>
    <n v="5"/>
    <n v="35"/>
    <n v="240"/>
    <m/>
    <n v="56"/>
    <n v="0"/>
    <d v="2024-02-26T00:00:00"/>
    <s v="A COMMANDER"/>
    <m/>
    <m/>
    <m/>
    <s v="OK"/>
  </r>
  <r>
    <s v="086817"/>
    <s v="Roue codeuse C200 L6.5 d06 PL lisse - D3x"/>
    <x v="8"/>
    <m/>
    <m/>
    <m/>
    <m/>
    <m/>
    <m/>
    <m/>
    <n v="1"/>
    <s v="commerce"/>
    <s v="KUBLER"/>
    <s v="8.0000.3245.0006"/>
    <n v="30"/>
    <x v="87"/>
    <n v="27.04"/>
    <n v="6"/>
    <n v="42"/>
    <n v="120"/>
    <m/>
    <n v="16"/>
    <n v="0"/>
    <d v="2024-02-26T00:00:00"/>
    <s v="A COMMANDER"/>
    <m/>
    <m/>
    <m/>
    <s v="OK"/>
  </r>
  <r>
    <s v="086818"/>
    <s v="Codeur avec sortie droite 2000 points - D3x"/>
    <x v="8"/>
    <m/>
    <m/>
    <m/>
    <m/>
    <m/>
    <m/>
    <m/>
    <n v="1"/>
    <s v="commerce"/>
    <s v="KUBLER"/>
    <s v="8.KIS40.1341.2000"/>
    <n v="30"/>
    <x v="88"/>
    <n v="76.5"/>
    <n v="6"/>
    <n v="42"/>
    <n v="120"/>
    <m/>
    <n v="16"/>
    <n v="0"/>
    <d v="2024-02-26T00:00:00"/>
    <s v="A COMMANDER"/>
    <m/>
    <m/>
    <m/>
    <s v="OK"/>
  </r>
  <r>
    <s v="086819"/>
    <s v="Doigt d'indexage bride horizontale"/>
    <x v="8"/>
    <m/>
    <m/>
    <m/>
    <m/>
    <m/>
    <m/>
    <m/>
    <n v="1"/>
    <s v="commerce"/>
    <s v="MISUMI"/>
    <s v="22110.0348"/>
    <m/>
    <x v="89"/>
    <n v="7.37"/>
    <n v="2"/>
    <n v="14"/>
    <n v="60"/>
    <m/>
    <n v="8"/>
    <n v="0"/>
    <d v="2024-02-26T00:00:00"/>
    <s v="A COMMANDER"/>
    <m/>
    <m/>
    <m/>
    <s v="OK"/>
  </r>
  <r>
    <s v="086820"/>
    <s v="Ressort de compression  Øext : 8,7 Nb spires:4,6 - D3x"/>
    <x v="8"/>
    <m/>
    <m/>
    <m/>
    <m/>
    <m/>
    <m/>
    <m/>
    <n v="2"/>
    <s v="commerce"/>
    <s v="MISUMI"/>
    <s v="WM8-20"/>
    <m/>
    <x v="90"/>
    <n v="1.66"/>
    <n v="1"/>
    <n v="7"/>
    <n v="120"/>
    <m/>
    <n v="12"/>
    <n v="0"/>
    <d v="2024-02-26T00:00:00"/>
    <s v="A COMMANDER"/>
    <m/>
    <m/>
    <m/>
    <s v="OK"/>
  </r>
  <r>
    <s v="086885-S01"/>
    <s v="montage et cablage et fourni la gaine annelée technique"/>
    <x v="8"/>
    <m/>
    <m/>
    <m/>
    <m/>
    <m/>
    <m/>
    <m/>
    <n v="1"/>
    <s v="sous-traitance"/>
    <s v="SAGELEC"/>
    <m/>
    <n v="30"/>
    <x v="91"/>
    <n v="58.46"/>
    <n v="2"/>
    <n v="14"/>
    <n v="4"/>
    <m/>
    <n v="8"/>
    <n v="0"/>
    <d v="2024-02-26T00:00:00"/>
    <s v="A COMMANDER"/>
    <m/>
    <m/>
    <m/>
    <s v="OK"/>
  </r>
  <r>
    <s v="086945"/>
    <s v="Mobilité - DIPRO 3x HA"/>
    <x v="8"/>
    <m/>
    <m/>
    <m/>
    <m/>
    <m/>
    <n v="1"/>
    <m/>
    <m/>
    <s v="pièce finie"/>
    <s v="SIMETAL"/>
    <m/>
    <n v="30"/>
    <x v="92"/>
    <n v="296.60000000000002"/>
    <n v="12"/>
    <n v="84"/>
    <n v="60"/>
    <m/>
    <n v="28"/>
    <n v="0"/>
    <d v="2024-02-26T00:00:00"/>
    <s v="A COMMANDER"/>
    <m/>
    <m/>
    <m/>
    <s v="OK"/>
  </r>
  <r>
    <s v="086949"/>
    <s v="Plaque identification 70 x 20 mm mobilité - DIPRO 3x"/>
    <x v="8"/>
    <m/>
    <m/>
    <m/>
    <m/>
    <m/>
    <n v="1"/>
    <m/>
    <m/>
    <s v="signalitique"/>
    <s v="ISE Impressions"/>
    <m/>
    <m/>
    <x v="47"/>
    <n v="0.65"/>
    <n v="2"/>
    <n v="14"/>
    <n v="60"/>
    <m/>
    <n v="8"/>
    <n v="0"/>
    <d v="2024-02-26T00:00:00"/>
    <s v="A COMMANDER"/>
    <m/>
    <m/>
    <m/>
    <s v="O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F7633D-1965-4F75-BD89-46C58CFEDA01}" name="Tableau croisé dynamique1" cacheId="281" applyNumberFormats="0" applyBorderFormats="0" applyFontFormats="0" applyPatternFormats="0" applyAlignmentFormats="0" applyWidthHeightFormats="1" dataCaption="Valeurs" updatedVersion="8" minRefreshableVersion="3" useAutoFormatting="1" rowGrandTotals="0" colGrandTotals="0" itemPrintTitles="1" createdVersion="8" indent="0" outline="1" outlineData="1" multipleFieldFilters="0">
  <location ref="A3:J5" firstHeaderRow="1" firstDataRow="2" firstDataCol="1"/>
  <pivotFields count="29">
    <pivotField showAll="0"/>
    <pivotField showAll="0"/>
    <pivotField axis="axisCol" multipleItemSelectionAllowed="1" showAll="0">
      <items count="10">
        <item x="3"/>
        <item x="5"/>
        <item x="1"/>
        <item x="4"/>
        <item x="2"/>
        <item x="0"/>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94">
        <item x="42"/>
        <item x="43"/>
        <item x="70"/>
        <item x="71"/>
        <item x="0"/>
        <item x="26"/>
        <item x="44"/>
        <item x="33"/>
        <item x="1"/>
        <item x="27"/>
        <item x="32"/>
        <item x="2"/>
        <item x="3"/>
        <item x="67"/>
        <item x="45"/>
        <item x="37"/>
        <item x="47"/>
        <item x="90"/>
        <item x="84"/>
        <item x="29"/>
        <item x="28"/>
        <item x="41"/>
        <item x="51"/>
        <item x="4"/>
        <item x="82"/>
        <item x="80"/>
        <item x="30"/>
        <item x="35"/>
        <item x="75"/>
        <item x="66"/>
        <item x="36"/>
        <item x="34"/>
        <item x="83"/>
        <item x="74"/>
        <item x="89"/>
        <item x="25"/>
        <item x="76"/>
        <item x="24"/>
        <item x="85"/>
        <item x="86"/>
        <item x="23"/>
        <item x="7"/>
        <item x="21"/>
        <item x="79"/>
        <item x="5"/>
        <item x="22"/>
        <item x="87"/>
        <item x="78"/>
        <item x="39"/>
        <item x="49"/>
        <item x="11"/>
        <item x="10"/>
        <item x="69"/>
        <item x="9"/>
        <item x="8"/>
        <item x="91"/>
        <item x="48"/>
        <item x="40"/>
        <item x="58"/>
        <item x="57"/>
        <item x="56"/>
        <item x="88"/>
        <item x="12"/>
        <item x="55"/>
        <item x="54"/>
        <item x="53"/>
        <item x="17"/>
        <item x="52"/>
        <item x="13"/>
        <item x="14"/>
        <item x="64"/>
        <item x="63"/>
        <item x="15"/>
        <item x="18"/>
        <item x="16"/>
        <item x="62"/>
        <item x="59"/>
        <item x="60"/>
        <item x="61"/>
        <item x="6"/>
        <item x="19"/>
        <item x="20"/>
        <item x="81"/>
        <item x="72"/>
        <item x="92"/>
        <item x="65"/>
        <item x="73"/>
        <item x="38"/>
        <item x="68"/>
        <item x="50"/>
        <item x="77"/>
        <item x="46"/>
        <item x="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9">
    <i>
      <x/>
    </i>
    <i>
      <x v="1"/>
    </i>
    <i>
      <x v="2"/>
    </i>
    <i>
      <x v="3"/>
    </i>
    <i>
      <x v="4"/>
    </i>
    <i>
      <x v="5"/>
    </i>
    <i>
      <x v="6"/>
    </i>
    <i>
      <x v="7"/>
    </i>
    <i>
      <x v="8"/>
    </i>
  </colItems>
  <dataFields count="1">
    <dataField name="Somme de TARIF" fld="15"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1D3EF9-B280-4DC2-AC35-6A6B1DDE9ACE}" name="Tableau1" displayName="Tableau1" ref="A3:AS202" totalsRowShown="0" headerRowDxfId="36">
  <autoFilter ref="A3:AS202" xr:uid="{EF1D3EF9-B280-4DC2-AC35-6A6B1DDE9ACE}">
    <filterColumn colId="0">
      <filters>
        <filter val="086655"/>
      </filters>
    </filterColumn>
    <filterColumn colId="4">
      <filters>
        <filter val="1"/>
        <filter val="14"/>
        <filter val="2"/>
        <filter val="28"/>
        <filter val="29"/>
        <filter val="4"/>
        <filter val="6"/>
        <filter val="7"/>
        <filter val="8"/>
      </filters>
    </filterColumn>
  </autoFilter>
  <sortState xmlns:xlrd2="http://schemas.microsoft.com/office/spreadsheetml/2017/richdata2" ref="A4:AS202">
    <sortCondition descending="1" ref="R3:R202"/>
  </sortState>
  <tableColumns count="45">
    <tableColumn id="5" xr3:uid="{0D4F9030-F8C2-4AE5-B784-317D79490AF2}" name="REFERENCE" dataDxfId="35"/>
    <tableColumn id="7" xr3:uid="{BD537015-ED85-4BA8-8932-D7E843862412}" name="DESIGNATION"/>
    <tableColumn id="45" xr3:uid="{E45B26A0-0C64-4ED9-96BB-677DA8C2FC7F}" name="Sous-ensemble"/>
    <tableColumn id="1" xr3:uid="{3DA666DA-19C2-42F0-8177-434EF2554FB6}" name="086401 - Train mobile équipé pour DIPRO 3x" dataDxfId="34"/>
    <tableColumn id="24" xr3:uid="{44C645BC-4159-4732-8A61-70B2D6E9EFA9}" name="086596 - Train fixe équipé pour DIPRO 3x" dataDxfId="33"/>
    <tableColumn id="23" xr3:uid="{9D4FD296-3B99-4F28-A531-B12F365DA56D}" name="086403 - Ensemble chassis équipé pour DIPRO 3x" dataDxfId="32"/>
    <tableColumn id="22" xr3:uid="{46F8826E-1F40-4DCC-8827-F928853E6696}" name="086571 - ski central" dataDxfId="31"/>
    <tableColumn id="26" xr3:uid="{C53F2B3A-DDB7-4182-A997-B11A3AFEA7D3}" name="086645 - Ensemble Moteur 110V équipé pour DIPRO 3x"/>
    <tableColumn id="25" xr3:uid="{1B983AF4-28CF-4BE3-95DD-D75F09A96B73}" name="086651 - Ensemble Moteur 220V équipé pour DIPRO 3x" dataDxfId="30"/>
    <tableColumn id="28" xr3:uid="{5FC512D0-0D32-45CB-9764-D613890EC78E}" name="086944 - Option mobilité - DIPRO 3x"/>
    <tableColumn id="21" xr3:uid="{98DAF756-A330-46FF-95CC-F3327E725C01}" name="086577 - Coupe Transversale réglée - DIPRO 3x"/>
    <tableColumn id="27" xr3:uid="{4C886AD2-BD07-46D7-B415-F87D3247C42C}" name="086885 - Ensemble Codeur - DIPRO 3x"/>
    <tableColumn id="4" xr3:uid="{021F7CD4-910A-490D-98BA-B3C52FBA6329}" name="FAMILLE DE PIECE"/>
    <tableColumn id="9" xr3:uid="{DFF8EDBA-A63E-40E9-8785-B4DDCD73CA26}" name="FOURNISSEUR"/>
    <tableColumn id="10" xr3:uid="{48E3635C-8767-4D49-9E91-6736FB9ED90F}" name="REFERENCE FRS"/>
    <tableColumn id="11" xr3:uid="{BC62E713-B154-45DA-992E-91521BEC98F5}" name="MOQ"/>
    <tableColumn id="12" xr3:uid="{CE89EE6D-EC86-4496-AD3B-5B35C4BD9C72}" name="Prix unitaire" dataDxfId="29"/>
    <tableColumn id="16" xr3:uid="{1696B4DE-31B1-450D-B5EF-016D2CDD3CE6}" name="tot tarif ligne" dataDxfId="28">
      <calculatedColumnFormula>(SUM(D4:G4,I4))*Q4</calculatedColumnFormula>
    </tableColumn>
    <tableColumn id="13" xr3:uid="{FF9D206C-8B53-463C-A7EF-0A094F216379}" name="DELAIS (w)"/>
    <tableColumn id="14" xr3:uid="{16E8BD29-ACB2-446C-B225-CA276E2DB178}" name="DELAIS (J)" dataDxfId="27">
      <calculatedColumnFormula>+Tableau1[[#This Row],[DELAIS (w)]]*7</calculatedColumnFormula>
    </tableColumn>
    <tableColumn id="15" xr3:uid="{3B3A762E-D934-4317-BFE3-81552DD755C7}" name="STOCK inventaire" dataDxfId="26"/>
    <tableColumn id="20" xr3:uid="{524AD065-FF69-4132-BE44-627137F33E15}" name="STOCK disponible" dataDxfId="25"/>
    <tableColumn id="19" xr3:uid="{983C6B21-D848-410E-B210-4ACF22BC93DE}" name="SEUIL" dataDxfId="24">
      <calculatedColumnFormula>(Tableau1[[#This Row],[DELAIS (w)]]+2)*(2*SUM(Tableau1[[#This Row],[086401 - Train mobile équipé pour DIPRO 3x]:[086885 - Ensemble Codeur - DIPRO 3x]]))</calculatedColumnFormula>
    </tableColumn>
    <tableColumn id="18" xr3:uid="{3C684768-D8FC-479B-9E99-C1B7537E4819}" name="COUVERTURE W (capa 2,5M/S)" dataDxfId="23">
      <calculatedColumnFormula>+Tableau1[[#This Row],[STOCK disponible]]/(SUM(Tableau1[[#This Row],[086401 - Train mobile équipé pour DIPRO 3x]:[086885 - Ensemble Codeur - DIPRO 3x]])*2.5)</calculatedColumnFormula>
    </tableColumn>
    <tableColumn id="8" xr3:uid="{3A0E18E5-CB50-4822-B9D4-FDF2EA07E46E}" name="date de rupture estimé" dataDxfId="22">
      <calculatedColumnFormula>TODAY()+(Tableau1[[#This Row],[COUVERTURE W (capa 2,5M/S)]]*7)</calculatedColumnFormula>
    </tableColumn>
    <tableColumn id="17" xr3:uid="{88E8A7BA-FF7B-40C4-83FD-EFD379912171}" name="Alerte commande" dataDxfId="21"/>
    <tableColumn id="2" xr3:uid="{5B280C72-F923-4EB9-892C-1A009EC6C940}" name="qté En réappro" dataDxfId="20"/>
    <tableColumn id="3" xr3:uid="{23E66966-45B4-4CFE-8617-5EB045501C35}" name="n° de commande" dataDxfId="19"/>
    <tableColumn id="6" xr3:uid="{CAF4D328-BFB5-4074-834D-84FCE5904288}" name="date de livraison réappro" dataDxfId="18"/>
    <tableColumn id="29" xr3:uid="{06A2E770-D538-4A03-9C1D-336BDA5EA9DF}" name="couvert avant ruptures" dataDxfId="17">
      <calculatedColumnFormula>IF(ISBLANK(Tableau1[[#This Row],[date de livraison réappro]]),"",(IF(Tableau1[[#This Row],[date de livraison réappro]]&lt;Tableau1[[#This Row],[date de rupture estimé]],"OK","RUPTURE")))</calculatedColumnFormula>
    </tableColumn>
    <tableColumn id="30" xr3:uid="{08303610-1301-4869-B968-3EBE9BE98D41}" name="STOCK X3" dataDxfId="16"/>
    <tableColumn id="31" xr3:uid="{6962BB9A-7766-4CD2-80B2-614B3A71A866}" name="STOCK X3 DETAILLE"/>
    <tableColumn id="36" xr3:uid="{DA01A7DC-3FFC-4596-B702-B48A09ABE079}" name="Prix jouanel" dataDxfId="15"/>
    <tableColumn id="32" xr3:uid="{679E05F4-BDC6-4C2A-87BA-9043565722E5}" name="Actions menées"/>
    <tableColumn id="33" xr3:uid="{17627020-F72A-476C-B361-DF074A3CF243}" name="Actions à faire"/>
    <tableColumn id="35" xr3:uid="{E5350F0D-3F7A-49C1-A535-8E2A51FF828E}" name="Gain potentiel"/>
    <tableColumn id="42" xr3:uid="{3DE4EDBB-1E90-41FF-8BBD-F19ED1FEDBFE}" name="Colonne2" dataDxfId="14"/>
    <tableColumn id="34" xr3:uid="{01105216-0162-42AC-B5E0-ADC89C423A61}" name="Colonne1"/>
    <tableColumn id="37" xr3:uid="{EC909398-714B-4C78-873C-0ACB5329F227}" name="Galets" dataDxfId="13">
      <calculatedColumnFormula>Tableau1[[#This Row],[tot tarif ligne]]</calculatedColumnFormula>
    </tableColumn>
    <tableColumn id="44" xr3:uid="{62C563EC-E9B2-4688-8845-5783B366B79A}" name="Mécano-soudé" dataDxfId="12">
      <calculatedColumnFormula>Tableau1[[#This Row],[tot tarif ligne]]</calculatedColumnFormula>
    </tableColumn>
    <tableColumn id="38" xr3:uid="{9310BC67-F97C-4950-B878-D024BF289E18}" name="Pignons" dataDxfId="11">
      <calculatedColumnFormula>Tableau1[[#This Row],[tot tarif ligne]]</calculatedColumnFormula>
    </tableColumn>
    <tableColumn id="39" xr3:uid="{B5153AC9-8312-479D-8237-C4DF64C258DD}" name="Axe" dataDxfId="10">
      <calculatedColumnFormula>Tableau1[[#This Row],[tot tarif ligne]]</calculatedColumnFormula>
    </tableColumn>
    <tableColumn id="43" xr3:uid="{58452D3F-7B13-46DA-B1AB-24391E1B3F04}" name="Tôlerie laser pliage" dataDxfId="9">
      <calculatedColumnFormula>Tableau1[[#This Row],[tot tarif ligne]]</calculatedColumnFormula>
    </tableColumn>
    <tableColumn id="40" xr3:uid="{FFC34715-7FB6-461D-930E-ADF777DBD133}" name="Entroise Tournage" dataDxfId="8">
      <calculatedColumnFormula>Tableau1[[#This Row],[tot tarif ligne]]</calculatedColumnFormula>
    </tableColumn>
    <tableColumn id="41" xr3:uid="{9F1ADCA7-9BC1-4AAE-B417-AE1B51FA8AF2}" name="Entretoise fraisage" dataDxfId="7">
      <calculatedColumnFormula>Tableau1[[#This Row],[tot tarif ligne]]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8" dT="2023-12-19T12:36:11.14" personId="{7E74C5A7-6A3B-453E-9339-1EA41AD44B87}" id="{17F27691-D6AD-49C1-BAEF-B45955B84D55}">
    <text>20 MACHINES</text>
  </threadedComment>
  <threadedComment ref="Q8" dT="2024-12-23T11:09:25.94" personId="{7E74C5A7-6A3B-453E-9339-1EA41AD44B87}" id="{14FF7B16-C03D-4227-ACA4-81A94A97BCF2}">
    <text xml:space="preserve">PORTE GALET FIXE SU 97.59€
PORTE GALET INF F&amp;M 128.41€
CALE PORTE GALET 4.94€ 
Assemblage 33.50€
POIGNEE 5.72€
ROULEMENT INT20 EXT42  2.64€
INSERT FENDU M8
PION VERROUILLAGE 4.44€
DOUILLE PERCAGE 11.23€
VIS CHC M8*25
RONDELLE BELLEVILLE 0.105€
VIS CHC M10*70  0.25€
GOUPILLE CYLINDRIQUE A 16*100 1.24€
VIS CHC M5*16
</text>
  </threadedComment>
  <threadedComment ref="P9" dT="2023-12-19T12:36:11.14" personId="{7E74C5A7-6A3B-453E-9339-1EA41AD44B87}" id="{8FD332BC-5421-4134-9D44-6FAD86329640}">
    <text>20 MACHINES</text>
  </threadedComment>
  <threadedComment ref="Q9" dT="2024-12-23T12:47:22.28" personId="{7E74C5A7-6A3B-453E-9339-1EA41AD44B87}" id="{AF4C8558-86A5-4556-8E91-DFB5E00C0348}">
    <text>PORTE GALET FIXE SU 97.59€
PORTE GALET INF F&amp;M 128.41€
CALE PORTE GALET 4.94€ 
Assemblage 33.68€
POIGNEE 5.72€
ROULEMENT INT20 EXT42  2.64€
DOUILLE PERCAGE 11.23€
VIS CHC M8*25
RONDELLE BELLEVILLE 0.105€
VIS CHC M10*70  0.25€
GOUPILLE CYLINDRIQUE A 16*100 1.24€
VIS CHC M5*16</text>
  </threadedComment>
  <threadedComment ref="Q69" dT="2024-12-23T10:30:43.91" personId="{7E74C5A7-6A3B-453E-9339-1EA41AD44B87}" id="{E42AFF57-2F59-4D73-A30A-9D8C0C91845C}">
    <text>Retouche +98€/p</text>
  </threadedComment>
  <threadedComment ref="Q173" dT="2024-04-26T09:20:47.38" personId="{7E74C5A7-6A3B-453E-9339-1EA41AD44B87}" id="{3EAB1672-BC38-4F11-9520-52B8DC7B8A87}">
    <text>19.90 le rouleau de 1000 pastille + 10.90 de frais de livraison</text>
  </threadedComment>
</ThreadedComments>
</file>

<file path=xl/threadedComments/threadedComment2.xml><?xml version="1.0" encoding="utf-8"?>
<ThreadedComments xmlns="http://schemas.microsoft.com/office/spreadsheetml/2018/threadedcomments" xmlns:x="http://schemas.openxmlformats.org/spreadsheetml/2006/main">
  <threadedComment ref="B8" dT="2025-04-24T13:04:48.10" personId="{7E74C5A7-6A3B-453E-9339-1EA41AD44B87}" id="{828FFB91-C8B9-40BF-95A0-EA418A19374C}">
    <text>cout de chaque module (onglet data) + 600€ de MO</text>
  </threadedComment>
</ThreadedComments>
</file>

<file path=xl/threadedComments/threadedComment3.xml><?xml version="1.0" encoding="utf-8"?>
<ThreadedComments xmlns="http://schemas.microsoft.com/office/spreadsheetml/2018/threadedcomments" xmlns:x="http://schemas.openxmlformats.org/spreadsheetml/2006/main">
  <threadedComment ref="Q3" dT="2025-07-11T09:14:42.49" personId="{15502D70-9E61-4A12-AC8D-FC84A0ACD969}" id="{65CF3F16-D23A-4B09-893F-C8F9539CCC14}">
    <text>Alu</text>
  </threadedComment>
  <threadedComment ref="Q4" dT="2025-07-11T09:14:59.25" personId="{15502D70-9E61-4A12-AC8D-FC84A0ACD969}" id="{5505123D-0BE7-4CEB-B6CF-B63D764C5605}">
    <text xml:space="preserve">alu
</text>
  </threadedComment>
  <threadedComment ref="Q5" dT="2025-07-11T09:18:42.15" personId="{15502D70-9E61-4A12-AC8D-FC84A0ACD969}" id="{DF774CFF-A211-496C-8904-1364A045C626}">
    <text>Alu</text>
  </threadedComment>
  <threadedComment ref="Q10" dT="2025-07-11T09:19:12.73" personId="{15502D70-9E61-4A12-AC8D-FC84A0ACD969}" id="{F725BC31-951E-433D-B6E6-FB9B7241B961}">
    <text>alu</text>
  </threadedComment>
  <threadedComment ref="Q10" dT="2025-07-11T09:19:18.54" personId="{15502D70-9E61-4A12-AC8D-FC84A0ACD969}" id="{947B4EFB-B4D0-4761-AB04-EFA688B5E310}" parentId="{F725BC31-951E-433D-B6E6-FB9B7241B961}">
    <text>alu</text>
  </threadedComment>
  <threadedComment ref="Q11" dT="2025-07-11T09:19:29.68" personId="{15502D70-9E61-4A12-AC8D-FC84A0ACD969}" id="{70683551-6081-4E95-89B2-A70135FB452F}">
    <text>alu</text>
  </threadedComment>
  <threadedComment ref="T69" dT="2025-07-11T09:23:16.77" personId="{15502D70-9E61-4A12-AC8D-FC84A0ACD969}" id="{6116A6FD-A7A1-46D1-9E91-76638525DE3F}">
    <text xml:space="preserve">Estimation
</text>
  </threadedComment>
  <threadedComment ref="T70" dT="2025-07-11T09:23:45.18" personId="{15502D70-9E61-4A12-AC8D-FC84A0ACD969}" id="{FA4A225B-68E7-41E7-BE4E-412C7B723808}">
    <text>estimation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misumi-ec.com/vona2/detail/110300428610/?HissuCode=GEAKB2.0-30-20-A-20N&amp;PNSearch=GEAKB2.0-30-20-A-20N&amp;KWSearch=GEAKB2.0-30-20-A-20N&amp;searchFlow=results2products&amp;list=PageSearchResult"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www.norelem.fr/fr/Aper%C3%A7u+du+produit/Syst%C3%A8mes-et-composants-pour-la-construction-de-machines-et-d%27installations/22000/Engrenages-cr%C3%A9maill%C3%A8res/Engrenage-en-acier-module-3-Denture-droite-frais%C3%A9e-angle-de-pression-20%C2%B0/Engrenage-en-acier-module-3-denture-droite-frais%C3%A9e-angle-de-pression-20%C2%B0-forme-A-avec-%C3%A9paulement/Roue-dent%C3%A9e-droite-acier-naturel/p/22400-0130300020" TargetMode="External"/><Relationship Id="rId7" Type="http://schemas.openxmlformats.org/officeDocument/2006/relationships/comments" Target="../comments9.xml"/><Relationship Id="rId2" Type="http://schemas.openxmlformats.org/officeDocument/2006/relationships/hyperlink" Target="https://fr.misumi-ec.com/vona2/detail/110300428860/?CategorySpec=00000232243%3A%3Aa%0900000232416%3A%3Aa&amp;list=PageCategory" TargetMode="External"/><Relationship Id="rId1" Type="http://schemas.openxmlformats.org/officeDocument/2006/relationships/hyperlink" Target="https://fr.misumi-ec.com/vona2/detail/110300428860/?HissuCode=GEAHB3.0-20-30-A-20&amp;PNSearch=GEAHB3.0-20-30-A-20&amp;KWSearch=GEAHB3.0-20-30-A-20&amp;searchFlow=results2products&amp;list=PageSearchResult" TargetMode="External"/><Relationship Id="rId6" Type="http://schemas.openxmlformats.org/officeDocument/2006/relationships/vmlDrawing" Target="../drawings/vmlDrawing9.vml"/><Relationship Id="rId5" Type="http://schemas.openxmlformats.org/officeDocument/2006/relationships/hyperlink" Target="https://shop.hpceurope.com/fr/produit.asp?prid=4098" TargetMode="External"/><Relationship Id="rId4" Type="http://schemas.openxmlformats.org/officeDocument/2006/relationships/hyperlink" Target="https://www.tridistribution.fr/engrenage-module-3-pas-de-942mm/3595-engrenage-module-3.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5263A-B723-47C9-BC47-BCE122D4C7C2}">
  <sheetPr codeName="Feuil1"/>
  <dimension ref="A3:J6"/>
  <sheetViews>
    <sheetView workbookViewId="0">
      <selection activeCell="B11" sqref="B11"/>
    </sheetView>
  </sheetViews>
  <sheetFormatPr defaultColWidth="11.42578125" defaultRowHeight="15"/>
  <cols>
    <col min="1" max="1" width="16" bestFit="1" customWidth="1"/>
    <col min="2" max="2" width="24.85546875" bestFit="1" customWidth="1"/>
    <col min="3" max="3" width="8.140625" bestFit="1" customWidth="1"/>
    <col min="4" max="4" width="7.140625" bestFit="1" customWidth="1"/>
    <col min="5" max="5" width="6.140625" bestFit="1" customWidth="1"/>
    <col min="6" max="6" width="8.140625" bestFit="1" customWidth="1"/>
    <col min="7" max="7" width="7.140625" bestFit="1" customWidth="1"/>
    <col min="8" max="8" width="5.140625" bestFit="1" customWidth="1"/>
    <col min="9" max="9" width="6.140625" bestFit="1" customWidth="1"/>
    <col min="10" max="10" width="12.5703125" bestFit="1" customWidth="1"/>
    <col min="11" max="22" width="23.85546875" bestFit="1" customWidth="1"/>
    <col min="23" max="23" width="6.85546875" bestFit="1" customWidth="1"/>
    <col min="24" max="31" width="7" bestFit="1" customWidth="1"/>
    <col min="32" max="32" width="6.85546875" bestFit="1" customWidth="1"/>
    <col min="33" max="34" width="7" bestFit="1" customWidth="1"/>
    <col min="35" max="35" width="6.85546875" bestFit="1" customWidth="1"/>
    <col min="36" max="38" width="5" bestFit="1" customWidth="1"/>
    <col min="39" max="39" width="6.85546875" bestFit="1" customWidth="1"/>
    <col min="40" max="45" width="7" bestFit="1" customWidth="1"/>
    <col min="46" max="46" width="6.85546875" bestFit="1" customWidth="1"/>
    <col min="47" max="48" width="7" bestFit="1" customWidth="1"/>
    <col min="49" max="49" width="6.85546875" bestFit="1" customWidth="1"/>
    <col min="50" max="50" width="5" bestFit="1" customWidth="1"/>
    <col min="51" max="51" width="7.85546875" bestFit="1" customWidth="1"/>
    <col min="52" max="54" width="7" bestFit="1" customWidth="1"/>
    <col min="55" max="55" width="7.85546875" bestFit="1" customWidth="1"/>
    <col min="56" max="56" width="12.5703125" bestFit="1" customWidth="1"/>
  </cols>
  <sheetData>
    <row r="3" spans="1:10">
      <c r="B3" s="10" t="s">
        <v>0</v>
      </c>
    </row>
    <row r="4" spans="1:10">
      <c r="B4">
        <v>1</v>
      </c>
      <c r="C4">
        <v>2</v>
      </c>
      <c r="D4">
        <v>4</v>
      </c>
      <c r="E4">
        <v>6</v>
      </c>
      <c r="F4">
        <v>7</v>
      </c>
      <c r="G4">
        <v>8</v>
      </c>
      <c r="H4">
        <v>14</v>
      </c>
      <c r="I4">
        <v>29</v>
      </c>
      <c r="J4" t="s">
        <v>1</v>
      </c>
    </row>
    <row r="5" spans="1:10">
      <c r="A5" t="s">
        <v>2</v>
      </c>
      <c r="B5">
        <v>1945.4889000000001</v>
      </c>
      <c r="C5">
        <v>44.442099999999996</v>
      </c>
      <c r="D5">
        <v>0.12160000000000001</v>
      </c>
      <c r="E5">
        <v>21.48</v>
      </c>
      <c r="F5">
        <v>25.287399999999998</v>
      </c>
      <c r="G5">
        <v>3.0499999999999999E-2</v>
      </c>
      <c r="H5">
        <v>1.87</v>
      </c>
      <c r="I5">
        <v>3.1E-2</v>
      </c>
      <c r="J5">
        <v>6833.4262333333299</v>
      </c>
    </row>
    <row r="6" spans="1:10">
      <c r="B6">
        <f>B4*GETPIVOTDATA("TARIF",$A$3,"086401 - Train mobile équipé pour DIPRO 3x",1)</f>
        <v>1945.4889000000001</v>
      </c>
      <c r="C6">
        <f>GETPIVOTDATA("TARIF",$A$3,"086401 - Train mobile équipé pour DIPRO 3x",2)*C4</f>
        <v>88.884199999999993</v>
      </c>
      <c r="D6">
        <f>GETPIVOTDATA("TARIF",$A$3,"086401 - Train mobile équipé pour DIPRO 3x",4)*D4</f>
        <v>0.48640000000000005</v>
      </c>
      <c r="E6">
        <f>GETPIVOTDATA("TARIF",$A$3,"086401 - Train mobile équipé pour DIPRO 3x",6)*E4</f>
        <v>128.88</v>
      </c>
      <c r="F6">
        <f>GETPIVOTDATA("TARIF",$A$3,"086401 - Train mobile équipé pour DIPRO 3x",7)*F4</f>
        <v>177.01179999999999</v>
      </c>
      <c r="G6">
        <f>GETPIVOTDATA("TARIF",$A$3,"086401 - Train mobile équipé pour DIPRO 3x",8)*G4</f>
        <v>0.24399999999999999</v>
      </c>
      <c r="H6">
        <f>GETPIVOTDATA("TARIF",$A$3,"086401 - Train mobile équipé pour DIPRO 3x",14)*H4</f>
        <v>26.18</v>
      </c>
      <c r="I6">
        <f>GETPIVOTDATA("TARIF",$A$3,"086401 - Train mobile équipé pour DIPRO 3x",29)*I4</f>
        <v>0.89900000000000002</v>
      </c>
      <c r="J6" s="11">
        <f>SUM(B6:I6)</f>
        <v>2368.0742999999998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87212-102D-4849-A40B-C13192F87AE2}">
  <sheetPr codeName="Feuil2"/>
  <dimension ref="A1:AS207"/>
  <sheetViews>
    <sheetView zoomScale="115" zoomScaleNormal="115" workbookViewId="0">
      <pane xSplit="2" ySplit="3" topLeftCell="C39" activePane="bottomRight" state="frozen"/>
      <selection pane="bottomRight" activeCell="A39" sqref="A39"/>
      <selection pane="bottomLeft" activeCell="A3" sqref="A3"/>
      <selection pane="topRight" activeCell="C1" sqref="C1"/>
    </sheetView>
  </sheetViews>
  <sheetFormatPr defaultColWidth="11.42578125" defaultRowHeight="15"/>
  <cols>
    <col min="1" max="1" width="13.5703125" style="21" bestFit="1" customWidth="1"/>
    <col min="2" max="3" width="49.7109375" customWidth="1"/>
    <col min="4" max="7" width="20.5703125" style="29" customWidth="1"/>
    <col min="8" max="8" width="20.5703125" customWidth="1"/>
    <col min="9" max="9" width="20.5703125" style="29" customWidth="1"/>
    <col min="10" max="12" width="20.5703125" customWidth="1"/>
    <col min="13" max="13" width="19.5703125" customWidth="1"/>
    <col min="14" max="14" width="16.140625" bestFit="1" customWidth="1"/>
    <col min="15" max="15" width="25" hidden="1" customWidth="1"/>
    <col min="16" max="16" width="5.140625" hidden="1" customWidth="1"/>
    <col min="17" max="17" width="13.7109375" style="12" bestFit="1" customWidth="1"/>
    <col min="18" max="18" width="21.85546875" style="12" bestFit="1" customWidth="1"/>
    <col min="19" max="19" width="11" hidden="1" customWidth="1"/>
    <col min="20" max="20" width="0" hidden="1" customWidth="1"/>
    <col min="21" max="21" width="24" style="5" hidden="1" customWidth="1"/>
    <col min="22" max="22" width="0" hidden="1" customWidth="1"/>
    <col min="23" max="23" width="12.5703125" hidden="1" customWidth="1"/>
    <col min="24" max="25" width="13" hidden="1" customWidth="1"/>
    <col min="26" max="26" width="14.85546875" hidden="1" customWidth="1"/>
    <col min="27" max="27" width="11.42578125" hidden="1" customWidth="1"/>
    <col min="28" max="28" width="16.28515625" hidden="1" customWidth="1"/>
    <col min="29" max="29" width="12.28515625" style="9" hidden="1" customWidth="1"/>
    <col min="30" max="30" width="0" hidden="1" customWidth="1"/>
    <col min="31" max="31" width="12.28515625" style="17" hidden="1" customWidth="1"/>
    <col min="32" max="32" width="0" hidden="1" customWidth="1"/>
    <col min="34" max="34" width="20.85546875" bestFit="1" customWidth="1"/>
    <col min="35" max="35" width="35.7109375" customWidth="1"/>
    <col min="36" max="36" width="28.28515625" customWidth="1"/>
    <col min="37" max="37" width="42.140625" style="6" customWidth="1"/>
    <col min="38" max="45" width="11.28515625" customWidth="1"/>
  </cols>
  <sheetData>
    <row r="1" spans="1:45" ht="61.5" customHeight="1">
      <c r="H1" s="12"/>
      <c r="W1" s="462" t="s">
        <v>3</v>
      </c>
      <c r="Y1" s="9"/>
      <c r="Z1" s="9"/>
      <c r="AC1"/>
      <c r="AD1" s="9"/>
    </row>
    <row r="2" spans="1:45" ht="26.25" customHeight="1">
      <c r="D2" s="30" cm="1">
        <f t="array" ref="D2">+SUMPRODUCT((ISNUMBER(Tableau1[086401 - Train mobile équipé pour DIPRO 3x]))*Tableau1[086401 - Train mobile équipé pour DIPRO 3x]*Tableau1[Prix unitaire])</f>
        <v>2360.1382000000021</v>
      </c>
      <c r="E2" s="30" cm="1">
        <f t="array" ref="E2">+SUMPRODUCT((ISNUMBER(Tableau1[086596 - Train fixe équipé pour DIPRO 3x]))*Tableau1[086596 - Train fixe équipé pour DIPRO 3x]*Tableau1[Prix unitaire])</f>
        <v>2648.2248000000027</v>
      </c>
      <c r="F2" s="30" cm="1">
        <f t="array" ref="F2">+SUMPRODUCT((ISNUMBER(Tableau1[086403 - Ensemble chassis équipé pour DIPRO 3x]))*Tableau1[086403 - Ensemble chassis équipé pour DIPRO 3x]*Tableau1[Prix unitaire])</f>
        <v>1343.8371999999999</v>
      </c>
      <c r="G2" s="30" cm="1">
        <f t="array" ref="G2">+SUMPRODUCT((ISNUMBER(Tableau1[086571 - ski central]))*Tableau1[086571 - ski central]*Tableau1[Prix unitaire])</f>
        <v>38.56</v>
      </c>
      <c r="H2" s="11" cm="1">
        <f t="array" ref="H2">+SUMPRODUCT((ISNUMBER(Tableau1[086645 - Ensemble Moteur 110V équipé pour DIPRO 3x]))*Tableau1[086645 - Ensemble Moteur 110V équipé pour DIPRO 3x]*Tableau1[Prix unitaire])</f>
        <v>1519.4049000000002</v>
      </c>
      <c r="I2" s="30">
        <f>SUMPRODUCT(Tableau1[086651 - Ensemble Moteur 220V équipé pour DIPRO 3x],Tableau1[Prix unitaire])</f>
        <v>1478.5949000000003</v>
      </c>
      <c r="J2" s="11" cm="1">
        <f t="array" ref="J2">+SUMPRODUCT((ISNUMBER(Tableau1[086944 - Option mobilité - DIPRO 3x]))*Tableau1[086944 - Option mobilité - DIPRO 3x]*Tableau1[Prix unitaire])</f>
        <v>297.48</v>
      </c>
      <c r="K2" s="11" cm="1">
        <f t="array" ref="K2">+SUMPRODUCT((ISNUMBER(Tableau1[086577 - Coupe Transversale réglée - DIPRO 3x]))*Tableau1[086577 - Coupe Transversale réglée - DIPRO 3x]*Tableau1[Prix unitaire])</f>
        <v>453.76333333333332</v>
      </c>
      <c r="L2" s="11" cm="1">
        <f t="array" ref="L2">+SUMPRODUCT((ISNUMBER(Tableau1[086885 - Ensemble Codeur - DIPRO 3x]))*Tableau1[086885 - Ensemble Codeur - DIPRO 3x]*Tableau1[Prix unitaire])</f>
        <v>186.66589999999999</v>
      </c>
      <c r="M2" s="11">
        <f>+D2+E2+F2+G2+H2+J2+K2+L2</f>
        <v>8848.0743333333376</v>
      </c>
      <c r="Q2" s="12">
        <f>D2+E2+F2+G2+I2</f>
        <v>7869.3551000000052</v>
      </c>
      <c r="U2" t="s">
        <v>4</v>
      </c>
      <c r="W2" s="462"/>
      <c r="Y2" s="9"/>
      <c r="Z2" s="9"/>
      <c r="AC2"/>
      <c r="AD2" s="9"/>
    </row>
    <row r="3" spans="1:45" s="6" customFormat="1" ht="45">
      <c r="A3" s="26" t="s">
        <v>5</v>
      </c>
      <c r="B3" s="6" t="s">
        <v>6</v>
      </c>
      <c r="C3" s="6" t="s">
        <v>7</v>
      </c>
      <c r="D3" s="31" t="s">
        <v>8</v>
      </c>
      <c r="E3" s="31" t="s">
        <v>9</v>
      </c>
      <c r="F3" s="31" t="s">
        <v>10</v>
      </c>
      <c r="G3" s="31" t="s">
        <v>11</v>
      </c>
      <c r="H3" s="7" t="s">
        <v>12</v>
      </c>
      <c r="I3" s="31" t="s">
        <v>13</v>
      </c>
      <c r="J3" s="7" t="s">
        <v>14</v>
      </c>
      <c r="K3" s="7" t="s">
        <v>15</v>
      </c>
      <c r="L3" s="7" t="s">
        <v>16</v>
      </c>
      <c r="M3" s="6" t="s">
        <v>17</v>
      </c>
      <c r="N3" s="6" t="s">
        <v>18</v>
      </c>
      <c r="O3" s="6" t="s">
        <v>19</v>
      </c>
      <c r="P3" s="8" t="s">
        <v>20</v>
      </c>
      <c r="Q3" s="13" t="s">
        <v>21</v>
      </c>
      <c r="R3" s="23" t="s">
        <v>22</v>
      </c>
      <c r="S3" s="8" t="s">
        <v>23</v>
      </c>
      <c r="T3" s="22" t="s">
        <v>24</v>
      </c>
      <c r="U3" s="15" t="s">
        <v>25</v>
      </c>
      <c r="V3" s="6" t="s">
        <v>26</v>
      </c>
      <c r="W3" s="22" t="s">
        <v>27</v>
      </c>
      <c r="X3" s="22" t="s">
        <v>28</v>
      </c>
      <c r="Y3" s="22" t="s">
        <v>29</v>
      </c>
      <c r="Z3" s="22" t="s">
        <v>30</v>
      </c>
      <c r="AA3" s="6" t="s">
        <v>31</v>
      </c>
      <c r="AB3" s="6" t="s">
        <v>32</v>
      </c>
      <c r="AC3" s="6" t="s">
        <v>33</v>
      </c>
      <c r="AD3" s="22" t="s">
        <v>34</v>
      </c>
      <c r="AE3" s="18" t="s">
        <v>35</v>
      </c>
      <c r="AF3" s="6" t="s">
        <v>36</v>
      </c>
      <c r="AG3" s="43" t="s">
        <v>37</v>
      </c>
      <c r="AH3" s="6" t="s">
        <v>38</v>
      </c>
      <c r="AI3" s="6" t="s">
        <v>39</v>
      </c>
      <c r="AJ3" s="6" t="s">
        <v>40</v>
      </c>
      <c r="AK3" s="6" t="s">
        <v>41</v>
      </c>
      <c r="AL3" s="6" t="s">
        <v>42</v>
      </c>
      <c r="AM3" s="6" t="s">
        <v>43</v>
      </c>
      <c r="AN3" s="6" t="s">
        <v>44</v>
      </c>
      <c r="AO3" s="6" t="s">
        <v>45</v>
      </c>
      <c r="AP3" s="6" t="s">
        <v>46</v>
      </c>
      <c r="AQ3" s="6" t="s">
        <v>47</v>
      </c>
      <c r="AR3" s="6" t="s">
        <v>48</v>
      </c>
      <c r="AS3" s="6" t="s">
        <v>49</v>
      </c>
    </row>
    <row r="4" spans="1:45" ht="90" hidden="1">
      <c r="A4" s="20" t="s">
        <v>50</v>
      </c>
      <c r="B4" s="1" t="s">
        <v>51</v>
      </c>
      <c r="C4" s="1" t="s">
        <v>52</v>
      </c>
      <c r="D4" s="32"/>
      <c r="E4" s="32"/>
      <c r="F4" s="32"/>
      <c r="G4" s="32"/>
      <c r="H4" s="1">
        <v>1</v>
      </c>
      <c r="I4" s="32">
        <v>1</v>
      </c>
      <c r="J4" s="1"/>
      <c r="K4" s="1"/>
      <c r="L4" s="1"/>
      <c r="M4" s="1" t="s">
        <v>53</v>
      </c>
      <c r="N4" s="1" t="s">
        <v>54</v>
      </c>
      <c r="O4" s="1"/>
      <c r="P4" s="1"/>
      <c r="Q4" s="14">
        <v>825</v>
      </c>
      <c r="R4" s="14">
        <f>(SUM(D4:G4,I4))*Q4</f>
        <v>825</v>
      </c>
      <c r="S4" s="1">
        <v>5</v>
      </c>
      <c r="T4">
        <f>+Tableau1[[#This Row],[DELAIS (w)]]*7</f>
        <v>35</v>
      </c>
      <c r="U4">
        <v>28</v>
      </c>
      <c r="V4">
        <v>28</v>
      </c>
      <c r="W4">
        <f>(Tableau1[[#This Row],[DELAIS (w)]]+2)*(2.5*SUM(Tableau1[[#This Row],[086401 - Train mobile équipé pour DIPRO 3x]:[086885 - Ensemble Codeur - DIPRO 3x]]))</f>
        <v>35</v>
      </c>
      <c r="X4">
        <f>+Tableau1[[#This Row],[STOCK disponible]]/(SUM(Tableau1[[#This Row],[086401 - Train mobile équipé pour DIPRO 3x]:[086885 - Ensemble Codeur - DIPRO 3x]])*2.5)</f>
        <v>5.6</v>
      </c>
      <c r="Y4" s="9">
        <f ca="1">TODAY()+(Tableau1[[#This Row],[COUVERTURE W (capa 2,5M/S)]]*7)</f>
        <v>46258.2</v>
      </c>
      <c r="Z4" s="9" t="str">
        <f>IF(Tableau1[[#This Row],[STOCK disponible]]&lt;Tableau1[[#This Row],[SEUIL]],"A COMMANDER","")</f>
        <v>A COMMANDER</v>
      </c>
      <c r="AD4" s="9" t="str">
        <f>IF(ISBLANK(Tableau1[[#This Row],[date de livraison réappro]]),"",(IF(Tableau1[[#This Row],[date de livraison réappro]]&lt;Tableau1[[#This Row],[date de rupture estimé]],"OK","RUPTURE")))</f>
        <v/>
      </c>
      <c r="AE4" s="17">
        <v>35</v>
      </c>
      <c r="AG4" s="44"/>
      <c r="AH4" t="s">
        <v>55</v>
      </c>
      <c r="AI4" s="7" t="s">
        <v>56</v>
      </c>
      <c r="AJ4" s="7"/>
      <c r="AK4" s="7" t="s">
        <v>57</v>
      </c>
      <c r="AM4" s="12"/>
      <c r="AN4" s="12"/>
      <c r="AO4" s="12"/>
      <c r="AP4" s="12"/>
      <c r="AQ4" s="12"/>
      <c r="AR4" s="12"/>
      <c r="AS4" s="12"/>
    </row>
    <row r="5" spans="1:45" ht="30" hidden="1">
      <c r="A5" s="20" t="s">
        <v>58</v>
      </c>
      <c r="B5" t="s">
        <v>59</v>
      </c>
      <c r="C5" t="s">
        <v>60</v>
      </c>
      <c r="D5" s="29">
        <v>5</v>
      </c>
      <c r="E5" s="32">
        <v>7</v>
      </c>
      <c r="F5" s="32"/>
      <c r="G5" s="32"/>
      <c r="H5" s="1"/>
      <c r="I5" s="32"/>
      <c r="J5" s="1"/>
      <c r="K5" s="1"/>
      <c r="L5" s="1"/>
      <c r="M5" s="1"/>
      <c r="N5" s="1" t="s">
        <v>61</v>
      </c>
      <c r="O5" s="1"/>
      <c r="P5" s="1">
        <v>260</v>
      </c>
      <c r="Q5" s="14">
        <v>38.5</v>
      </c>
      <c r="R5" s="14">
        <f>(SUM(D5:G5,I5))*Q5</f>
        <v>462</v>
      </c>
      <c r="S5" s="1"/>
      <c r="T5">
        <f>+Tableau1[[#This Row],[DELAIS (w)]]*7</f>
        <v>0</v>
      </c>
      <c r="U5"/>
      <c r="W5">
        <f>(Tableau1[[#This Row],[DELAIS (w)]]+2)*(2*SUM(Tableau1[[#This Row],[086401 - Train mobile équipé pour DIPRO 3x]:[086885 - Ensemble Codeur - DIPRO 3x]]))</f>
        <v>48</v>
      </c>
      <c r="X5">
        <f>+Tableau1[[#This Row],[STOCK disponible]]/(SUM(Tableau1[[#This Row],[086401 - Train mobile équipé pour DIPRO 3x]:[086885 - Ensemble Codeur - DIPRO 3x]])*2.5)</f>
        <v>0</v>
      </c>
      <c r="Y5" s="9">
        <f ca="1">TODAY()+(Tableau1[[#This Row],[COUVERTURE W (capa 2,5M/S)]]*7)</f>
        <v>46219</v>
      </c>
      <c r="Z5" s="9"/>
      <c r="AD5" s="9" t="str">
        <f>IF(ISBLANK(Tableau1[[#This Row],[date de livraison réappro]]),"",(IF(Tableau1[[#This Row],[date de livraison réappro]]&lt;Tableau1[[#This Row],[date de rupture estimé]],"OK","RUPTURE")))</f>
        <v/>
      </c>
      <c r="AE5" s="16"/>
      <c r="AG5" s="44"/>
      <c r="AI5" s="7" t="s">
        <v>62</v>
      </c>
      <c r="AK5" s="41" t="s">
        <v>61</v>
      </c>
      <c r="AM5" s="12">
        <f>Tableau1[[#This Row],[tot tarif ligne]]</f>
        <v>462</v>
      </c>
      <c r="AN5" s="12"/>
      <c r="AO5" s="12"/>
      <c r="AP5" s="12"/>
      <c r="AQ5" s="12"/>
      <c r="AR5" s="12"/>
      <c r="AS5" s="12"/>
    </row>
    <row r="6" spans="1:45" ht="30.75" hidden="1" customHeight="1">
      <c r="A6" s="20" t="s">
        <v>63</v>
      </c>
      <c r="B6" s="1" t="s">
        <v>64</v>
      </c>
      <c r="C6" s="1" t="s">
        <v>65</v>
      </c>
      <c r="D6" s="32"/>
      <c r="E6" s="32">
        <v>1</v>
      </c>
      <c r="F6" s="32"/>
      <c r="G6" s="32"/>
      <c r="H6" s="1"/>
      <c r="I6" s="32"/>
      <c r="J6" s="1"/>
      <c r="K6" s="1"/>
      <c r="L6" s="1"/>
      <c r="M6" s="1" t="s">
        <v>66</v>
      </c>
      <c r="N6" s="1" t="s">
        <v>67</v>
      </c>
      <c r="O6" s="1"/>
      <c r="P6" s="1">
        <v>20</v>
      </c>
      <c r="Q6" s="14">
        <v>409.32</v>
      </c>
      <c r="R6" s="14">
        <f>(SUM(D6:G6,I6))*Q6</f>
        <v>409.32</v>
      </c>
      <c r="S6" s="1">
        <v>11</v>
      </c>
      <c r="T6">
        <f>+Tableau1[[#This Row],[DELAIS (w)]]*7</f>
        <v>77</v>
      </c>
      <c r="U6">
        <v>20</v>
      </c>
      <c r="V6">
        <v>20</v>
      </c>
      <c r="W6">
        <f>(Tableau1[[#This Row],[DELAIS (w)]]+2)*(2.5*SUM(Tableau1[[#This Row],[086401 - Train mobile équipé pour DIPRO 3x]:[086885 - Ensemble Codeur - DIPRO 3x]]))</f>
        <v>32.5</v>
      </c>
      <c r="X6">
        <f>+Tableau1[[#This Row],[STOCK disponible]]/(SUM(Tableau1[[#This Row],[086401 - Train mobile équipé pour DIPRO 3x]:[086885 - Ensemble Codeur - DIPRO 3x]])*2.5)</f>
        <v>8</v>
      </c>
      <c r="Y6" s="9">
        <f ca="1">TODAY()+(Tableau1[[#This Row],[COUVERTURE W (capa 2,5M/S)]]*7)</f>
        <v>46275</v>
      </c>
      <c r="Z6" s="9" t="str">
        <f>IF(Tableau1[[#This Row],[STOCK disponible]]&lt;Tableau1[[#This Row],[SEUIL]],"A COMMANDER","")</f>
        <v>A COMMANDER</v>
      </c>
      <c r="AD6" s="9" t="str">
        <f>IF(ISBLANK(Tableau1[[#This Row],[date de livraison réappro]]),"",(IF(Tableau1[[#This Row],[date de livraison réappro]]&lt;Tableau1[[#This Row],[date de rupture estimé]],"OK","RUPTURE")))</f>
        <v/>
      </c>
      <c r="AE6" s="17">
        <v>0</v>
      </c>
      <c r="AG6" s="44"/>
      <c r="AH6" s="6" t="s">
        <v>68</v>
      </c>
      <c r="AI6" s="7" t="s">
        <v>69</v>
      </c>
      <c r="AJ6" s="7"/>
      <c r="AK6" s="40" t="s">
        <v>70</v>
      </c>
      <c r="AM6" s="12"/>
      <c r="AN6" s="12">
        <f>Tableau1[[#This Row],[tot tarif ligne]]</f>
        <v>409.32</v>
      </c>
      <c r="AO6" s="12"/>
      <c r="AP6" s="12"/>
      <c r="AQ6" s="12"/>
      <c r="AR6" s="12"/>
      <c r="AS6" s="12"/>
    </row>
    <row r="7" spans="1:45" ht="30" hidden="1">
      <c r="A7" s="20" t="s">
        <v>71</v>
      </c>
      <c r="B7" s="4" t="s">
        <v>72</v>
      </c>
      <c r="C7" s="4" t="s">
        <v>65</v>
      </c>
      <c r="D7" s="32">
        <v>1</v>
      </c>
      <c r="E7" s="32"/>
      <c r="F7" s="32"/>
      <c r="G7" s="32"/>
      <c r="H7" s="1"/>
      <c r="I7" s="32"/>
      <c r="J7" s="1"/>
      <c r="K7" s="1"/>
      <c r="L7" s="1"/>
      <c r="M7" s="1" t="s">
        <v>66</v>
      </c>
      <c r="N7" s="1" t="s">
        <v>67</v>
      </c>
      <c r="O7" s="1"/>
      <c r="P7" s="1">
        <v>20</v>
      </c>
      <c r="Q7" s="14">
        <v>406.22</v>
      </c>
      <c r="R7" s="14">
        <f>(SUM(D7:G7,I7))*Q7</f>
        <v>406.22</v>
      </c>
      <c r="S7" s="1">
        <v>11</v>
      </c>
      <c r="T7">
        <f>+Tableau1[[#This Row],[DELAIS (w)]]*7</f>
        <v>77</v>
      </c>
      <c r="U7">
        <v>20</v>
      </c>
      <c r="V7">
        <v>20</v>
      </c>
      <c r="W7">
        <f>(Tableau1[[#This Row],[DELAIS (w)]]+2)*(2.5*SUM(Tableau1[[#This Row],[086401 - Train mobile équipé pour DIPRO 3x]:[086885 - Ensemble Codeur - DIPRO 3x]]))</f>
        <v>32.5</v>
      </c>
      <c r="X7">
        <f>+Tableau1[[#This Row],[STOCK disponible]]/(SUM(Tableau1[[#This Row],[086401 - Train mobile équipé pour DIPRO 3x]:[086885 - Ensemble Codeur - DIPRO 3x]])*2.5)</f>
        <v>8</v>
      </c>
      <c r="Y7" s="9">
        <f ca="1">TODAY()+(Tableau1[[#This Row],[COUVERTURE W (capa 2,5M/S)]]*7)</f>
        <v>46275</v>
      </c>
      <c r="Z7" s="9" t="str">
        <f>IF(Tableau1[[#This Row],[STOCK disponible]]&lt;Tableau1[[#This Row],[SEUIL]],"A COMMANDER","")</f>
        <v>A COMMANDER</v>
      </c>
      <c r="AD7" s="9" t="str">
        <f>IF(ISBLANK(Tableau1[[#This Row],[date de livraison réappro]]),"",(IF(Tableau1[[#This Row],[date de livraison réappro]]&lt;Tableau1[[#This Row],[date de rupture estimé]],"OK","RUPTURE")))</f>
        <v/>
      </c>
      <c r="AE7" s="17">
        <v>0</v>
      </c>
      <c r="AG7" s="44"/>
      <c r="AH7" s="6" t="s">
        <v>68</v>
      </c>
      <c r="AI7" t="s">
        <v>73</v>
      </c>
      <c r="AK7" s="40" t="s">
        <v>70</v>
      </c>
      <c r="AM7" s="12"/>
      <c r="AN7" s="12">
        <f>Tableau1[[#This Row],[tot tarif ligne]]</f>
        <v>406.22</v>
      </c>
      <c r="AO7" s="12"/>
      <c r="AP7" s="12"/>
      <c r="AQ7" s="12"/>
      <c r="AR7" s="12"/>
      <c r="AS7" s="12"/>
    </row>
    <row r="8" spans="1:45" ht="60" hidden="1">
      <c r="A8" s="20" t="s">
        <v>74</v>
      </c>
      <c r="B8" s="4" t="s">
        <v>75</v>
      </c>
      <c r="C8" s="4" t="s">
        <v>60</v>
      </c>
      <c r="D8" s="32"/>
      <c r="E8" s="33">
        <v>1</v>
      </c>
      <c r="F8" s="32"/>
      <c r="G8" s="32"/>
      <c r="H8" s="1"/>
      <c r="I8" s="32"/>
      <c r="J8" s="1"/>
      <c r="K8" s="1"/>
      <c r="L8" s="1"/>
      <c r="M8" s="1" t="s">
        <v>76</v>
      </c>
      <c r="N8" s="4" t="s">
        <v>77</v>
      </c>
      <c r="O8" s="1"/>
      <c r="P8" s="1">
        <v>20</v>
      </c>
      <c r="Q8" s="14">
        <f>97.59+128.41+4.23*3+33.5+5.72*2+2.64*14+4.44+2*11.23+48*0.105+6*0.25+2*1.24</f>
        <v>356.51</v>
      </c>
      <c r="R8" s="14">
        <f>(SUM(D8:G8,I8))*Q8</f>
        <v>356.51</v>
      </c>
      <c r="S8" s="1">
        <v>7</v>
      </c>
      <c r="T8">
        <f>+Tableau1[[#This Row],[DELAIS (w)]]*7</f>
        <v>49</v>
      </c>
      <c r="U8">
        <v>21</v>
      </c>
      <c r="V8">
        <v>21</v>
      </c>
      <c r="W8">
        <f>(Tableau1[[#This Row],[DELAIS (w)]]+2)*(2.5*SUM(Tableau1[[#This Row],[086401 - Train mobile équipé pour DIPRO 3x]:[086885 - Ensemble Codeur - DIPRO 3x]]))</f>
        <v>22.5</v>
      </c>
      <c r="X8">
        <f>+Tableau1[[#This Row],[STOCK disponible]]/(SUM(Tableau1[[#This Row],[086401 - Train mobile équipé pour DIPRO 3x]:[086885 - Ensemble Codeur - DIPRO 3x]])*2.5)</f>
        <v>8.4</v>
      </c>
      <c r="Y8" s="9">
        <f ca="1">TODAY()+(Tableau1[[#This Row],[COUVERTURE W (capa 2,5M/S)]]*7)</f>
        <v>46277.8</v>
      </c>
      <c r="Z8" s="9" t="str">
        <f>IF(Tableau1[[#This Row],[STOCK disponible]]&lt;Tableau1[[#This Row],[SEUIL]],"A COMMANDER","")</f>
        <v>A COMMANDER</v>
      </c>
      <c r="AD8" s="9" t="str">
        <f>IF(ISBLANK(Tableau1[[#This Row],[date de livraison réappro]]),"",(IF(Tableau1[[#This Row],[date de livraison réappro]]&lt;Tableau1[[#This Row],[date de rupture estimé]],"OK","RUPTURE")))</f>
        <v/>
      </c>
      <c r="AE8" s="16"/>
      <c r="AG8" s="44"/>
      <c r="AH8" s="6" t="s">
        <v>78</v>
      </c>
      <c r="AI8" s="7" t="s">
        <v>79</v>
      </c>
      <c r="AJ8" s="7"/>
      <c r="AK8" s="6" t="s">
        <v>80</v>
      </c>
      <c r="AL8" s="6" t="s">
        <v>81</v>
      </c>
      <c r="AM8" s="12"/>
      <c r="AN8" s="12"/>
      <c r="AO8" s="12"/>
      <c r="AP8" s="12"/>
      <c r="AQ8" s="12"/>
      <c r="AR8" s="12"/>
      <c r="AS8" s="12"/>
    </row>
    <row r="9" spans="1:45" ht="30" hidden="1">
      <c r="A9" s="20" t="s">
        <v>82</v>
      </c>
      <c r="B9" s="1" t="s">
        <v>83</v>
      </c>
      <c r="C9" s="1" t="s">
        <v>60</v>
      </c>
      <c r="D9" s="32">
        <v>1</v>
      </c>
      <c r="E9" s="32"/>
      <c r="F9" s="32"/>
      <c r="G9" s="32"/>
      <c r="H9" s="1"/>
      <c r="I9" s="32"/>
      <c r="J9" s="1"/>
      <c r="K9" s="1"/>
      <c r="L9" s="1"/>
      <c r="M9" s="1" t="s">
        <v>76</v>
      </c>
      <c r="N9" s="1" t="s">
        <v>77</v>
      </c>
      <c r="O9" s="1"/>
      <c r="P9" s="1">
        <v>20</v>
      </c>
      <c r="Q9" s="14">
        <f>97.59+128.41+4.23*3+33.68+5.72*2+2.64*14+2*11.23+48*0.105+6*0.25+2*1.24</f>
        <v>352.25</v>
      </c>
      <c r="R9" s="14">
        <f>(SUM(D9:G9,I9))*Q9</f>
        <v>352.25</v>
      </c>
      <c r="S9" s="1">
        <v>7</v>
      </c>
      <c r="T9">
        <f>+Tableau1[[#This Row],[DELAIS (w)]]*7</f>
        <v>49</v>
      </c>
      <c r="U9">
        <v>20</v>
      </c>
      <c r="V9">
        <v>20</v>
      </c>
      <c r="W9">
        <f>(Tableau1[[#This Row],[DELAIS (w)]]+2)*(2.5*SUM(Tableau1[[#This Row],[086401 - Train mobile équipé pour DIPRO 3x]:[086885 - Ensemble Codeur - DIPRO 3x]]))</f>
        <v>22.5</v>
      </c>
      <c r="X9">
        <f>+Tableau1[[#This Row],[STOCK disponible]]/(SUM(Tableau1[[#This Row],[086401 - Train mobile équipé pour DIPRO 3x]:[086885 - Ensemble Codeur - DIPRO 3x]])*2.5)</f>
        <v>8</v>
      </c>
      <c r="Y9" s="9">
        <f ca="1">TODAY()+(Tableau1[[#This Row],[COUVERTURE W (capa 2,5M/S)]]*7)</f>
        <v>46275</v>
      </c>
      <c r="Z9" s="9" t="str">
        <f>IF(Tableau1[[#This Row],[STOCK disponible]]&lt;Tableau1[[#This Row],[SEUIL]],"A COMMANDER","")</f>
        <v>A COMMANDER</v>
      </c>
      <c r="AD9" s="9" t="str">
        <f>IF(ISBLANK(Tableau1[[#This Row],[date de livraison réappro]]),"",(IF(Tableau1[[#This Row],[date de livraison réappro]]&lt;Tableau1[[#This Row],[date de rupture estimé]],"OK","RUPTURE")))</f>
        <v/>
      </c>
      <c r="AE9" s="16"/>
      <c r="AG9" s="44"/>
      <c r="AI9" t="s">
        <v>84</v>
      </c>
      <c r="AK9" s="6" t="s">
        <v>80</v>
      </c>
      <c r="AL9" t="s">
        <v>84</v>
      </c>
      <c r="AM9" s="12"/>
      <c r="AN9" s="12"/>
      <c r="AO9" s="12"/>
      <c r="AP9" s="12"/>
      <c r="AQ9" s="12"/>
      <c r="AR9" s="12"/>
      <c r="AS9" s="12"/>
    </row>
    <row r="10" spans="1:45" ht="45" hidden="1">
      <c r="A10" s="20">
        <v>100101</v>
      </c>
      <c r="B10" s="1" t="s">
        <v>85</v>
      </c>
      <c r="C10" s="1" t="s">
        <v>52</v>
      </c>
      <c r="D10" s="32"/>
      <c r="E10" s="32"/>
      <c r="F10" s="32"/>
      <c r="G10" s="32"/>
      <c r="H10" s="1">
        <v>1</v>
      </c>
      <c r="I10" s="32">
        <v>1</v>
      </c>
      <c r="J10" s="1"/>
      <c r="K10" s="1"/>
      <c r="L10" s="1"/>
      <c r="M10" s="1" t="s">
        <v>86</v>
      </c>
      <c r="N10" s="1" t="s">
        <v>87</v>
      </c>
      <c r="O10" s="1" t="s">
        <v>88</v>
      </c>
      <c r="P10" s="1">
        <v>28</v>
      </c>
      <c r="Q10" s="14">
        <v>350</v>
      </c>
      <c r="R10" s="14">
        <f>(SUM(D10:G10,I10))*Q10</f>
        <v>350</v>
      </c>
      <c r="S10" s="1">
        <v>24</v>
      </c>
      <c r="T10">
        <f>+Tableau1[[#This Row],[DELAIS (w)]]*7</f>
        <v>168</v>
      </c>
      <c r="U10">
        <v>84</v>
      </c>
      <c r="V10">
        <v>84</v>
      </c>
      <c r="W10">
        <f>(Tableau1[[#This Row],[DELAIS (w)]]+2)*(2.5*SUM(Tableau1[[#This Row],[086401 - Train mobile équipé pour DIPRO 3x]:[086885 - Ensemble Codeur - DIPRO 3x]]))</f>
        <v>130</v>
      </c>
      <c r="X10">
        <f>+Tableau1[[#This Row],[STOCK disponible]]/(SUM(Tableau1[[#This Row],[086401 - Train mobile équipé pour DIPRO 3x]:[086885 - Ensemble Codeur - DIPRO 3x]])*2.5)</f>
        <v>16.8</v>
      </c>
      <c r="Y10" s="9">
        <f ca="1">TODAY()+(Tableau1[[#This Row],[COUVERTURE W (capa 2,5M/S)]]*7)</f>
        <v>46336.6</v>
      </c>
      <c r="Z10" s="9" t="str">
        <f>IF(Tableau1[[#This Row],[STOCK disponible]]&lt;Tableau1[[#This Row],[SEUIL]],"A COMMANDER","")</f>
        <v>A COMMANDER</v>
      </c>
      <c r="AD10" s="9" t="str">
        <f>IF(ISBLANK(Tableau1[[#This Row],[date de livraison réappro]]),"",(IF(Tableau1[[#This Row],[date de livraison réappro]]&lt;Tableau1[[#This Row],[date de rupture estimé]],"OK","RUPTURE")))</f>
        <v/>
      </c>
      <c r="AE10" s="19">
        <v>89</v>
      </c>
      <c r="AF10" t="s">
        <v>89</v>
      </c>
      <c r="AG10" s="44"/>
      <c r="AH10" s="6" t="s">
        <v>90</v>
      </c>
      <c r="AI10" t="s">
        <v>91</v>
      </c>
      <c r="AK10" s="6" t="s">
        <v>92</v>
      </c>
      <c r="AM10" s="12"/>
      <c r="AN10" s="12"/>
      <c r="AO10" s="12"/>
      <c r="AP10" s="12"/>
      <c r="AQ10" s="12"/>
      <c r="AR10" s="12"/>
      <c r="AS10" s="12"/>
    </row>
    <row r="11" spans="1:45" ht="30" hidden="1">
      <c r="A11" s="20" t="s">
        <v>93</v>
      </c>
      <c r="B11" s="1" t="s">
        <v>94</v>
      </c>
      <c r="C11" s="1" t="s">
        <v>60</v>
      </c>
      <c r="D11" s="32">
        <v>7</v>
      </c>
      <c r="E11" s="32">
        <v>7</v>
      </c>
      <c r="F11" s="32"/>
      <c r="G11" s="32"/>
      <c r="H11" s="1"/>
      <c r="I11" s="32"/>
      <c r="J11" s="1"/>
      <c r="K11" s="1"/>
      <c r="L11" s="1"/>
      <c r="M11" s="1" t="s">
        <v>95</v>
      </c>
      <c r="N11" s="1" t="s">
        <v>96</v>
      </c>
      <c r="O11" s="1"/>
      <c r="P11" s="1">
        <v>280</v>
      </c>
      <c r="Q11" s="14">
        <v>22.5</v>
      </c>
      <c r="R11" s="14">
        <f>(SUM(D11:G11,I11))*Q11</f>
        <v>315</v>
      </c>
      <c r="S11" s="1">
        <v>10</v>
      </c>
      <c r="T11">
        <f>+Tableau1[[#This Row],[DELAIS (w)]]*7</f>
        <v>70</v>
      </c>
      <c r="U11">
        <v>512</v>
      </c>
      <c r="V11">
        <v>512</v>
      </c>
      <c r="W11">
        <f>(Tableau1[[#This Row],[DELAIS (w)]]+2)*(2.5*SUM(Tableau1[[#This Row],[086401 - Train mobile équipé pour DIPRO 3x]:[086885 - Ensemble Codeur - DIPRO 3x]]))</f>
        <v>420</v>
      </c>
      <c r="X11">
        <f>+Tableau1[[#This Row],[STOCK disponible]]/(SUM(Tableau1[[#This Row],[086401 - Train mobile équipé pour DIPRO 3x]:[086885 - Ensemble Codeur - DIPRO 3x]])*2.5)</f>
        <v>14.628571428571428</v>
      </c>
      <c r="Y11" s="9">
        <f ca="1">TODAY()+(Tableau1[[#This Row],[COUVERTURE W (capa 2,5M/S)]]*7)</f>
        <v>46321.4</v>
      </c>
      <c r="Z11" s="9" t="str">
        <f>IF(Tableau1[[#This Row],[STOCK disponible]]&lt;Tableau1[[#This Row],[SEUIL]],"A COMMANDER","")</f>
        <v/>
      </c>
      <c r="AA11">
        <v>202</v>
      </c>
      <c r="AB11" t="s">
        <v>97</v>
      </c>
      <c r="AC11" s="9">
        <v>45457</v>
      </c>
      <c r="AD11" s="9" t="str">
        <f ca="1">IF(ISBLANK(Tableau1[[#This Row],[date de livraison réappro]]),"",(IF(Tableau1[[#This Row],[date de livraison réappro]]&lt;Tableau1[[#This Row],[date de rupture estimé]],"OK","RUPTURE")))</f>
        <v>OK</v>
      </c>
      <c r="AE11" s="17">
        <v>249</v>
      </c>
      <c r="AG11" s="44"/>
      <c r="AI11" t="s">
        <v>98</v>
      </c>
      <c r="AK11" s="6" t="s">
        <v>99</v>
      </c>
      <c r="AM11" s="12"/>
      <c r="AN11" s="12"/>
      <c r="AO11" s="12">
        <f>Tableau1[[#This Row],[tot tarif ligne]]</f>
        <v>315</v>
      </c>
      <c r="AP11" s="12"/>
      <c r="AQ11" s="12"/>
      <c r="AR11" s="12"/>
      <c r="AS11" s="12"/>
    </row>
    <row r="12" spans="1:45" ht="30" hidden="1">
      <c r="A12" s="20" t="s">
        <v>100</v>
      </c>
      <c r="B12" t="s">
        <v>101</v>
      </c>
      <c r="C12" t="s">
        <v>60</v>
      </c>
      <c r="D12" s="29">
        <v>9</v>
      </c>
      <c r="E12" s="32">
        <v>7</v>
      </c>
      <c r="F12" s="32"/>
      <c r="G12" s="32"/>
      <c r="H12" s="1"/>
      <c r="I12" s="32"/>
      <c r="J12" s="1"/>
      <c r="K12" s="1"/>
      <c r="L12" s="1"/>
      <c r="M12" s="1"/>
      <c r="N12" s="1" t="s">
        <v>61</v>
      </c>
      <c r="O12" s="1"/>
      <c r="P12" s="1">
        <v>320</v>
      </c>
      <c r="Q12" s="14">
        <v>16.5</v>
      </c>
      <c r="R12" s="14">
        <f>(SUM(D12:G12,I12))*Q12</f>
        <v>264</v>
      </c>
      <c r="S12" s="1"/>
      <c r="T12">
        <f>+Tableau1[[#This Row],[DELAIS (w)]]*7</f>
        <v>0</v>
      </c>
      <c r="U12"/>
      <c r="W12">
        <f>(Tableau1[[#This Row],[DELAIS (w)]]+2)*(2*SUM(Tableau1[[#This Row],[086401 - Train mobile équipé pour DIPRO 3x]:[086885 - Ensemble Codeur - DIPRO 3x]]))</f>
        <v>64</v>
      </c>
      <c r="X12">
        <f>+Tableau1[[#This Row],[STOCK disponible]]/(SUM(Tableau1[[#This Row],[086401 - Train mobile équipé pour DIPRO 3x]:[086885 - Ensemble Codeur - DIPRO 3x]])*2.5)</f>
        <v>0</v>
      </c>
      <c r="Y12" s="9">
        <f ca="1">TODAY()+(Tableau1[[#This Row],[COUVERTURE W (capa 2,5M/S)]]*7)</f>
        <v>46219</v>
      </c>
      <c r="Z12" s="9"/>
      <c r="AD12" s="9" t="str">
        <f>IF(ISBLANK(Tableau1[[#This Row],[date de livraison réappro]]),"",(IF(Tableau1[[#This Row],[date de livraison réappro]]&lt;Tableau1[[#This Row],[date de rupture estimé]],"OK","RUPTURE")))</f>
        <v/>
      </c>
      <c r="AE12" s="16"/>
      <c r="AG12" s="44"/>
      <c r="AK12" s="6" t="s">
        <v>102</v>
      </c>
      <c r="AM12" s="12">
        <f>Tableau1[[#This Row],[tot tarif ligne]]</f>
        <v>264</v>
      </c>
      <c r="AN12" s="12"/>
      <c r="AO12" s="12"/>
      <c r="AP12" s="12"/>
      <c r="AQ12" s="12"/>
      <c r="AR12" s="12"/>
      <c r="AS12" s="12"/>
    </row>
    <row r="13" spans="1:45" ht="99.75" hidden="1" customHeight="1">
      <c r="A13" s="20" t="s">
        <v>103</v>
      </c>
      <c r="B13" s="1" t="s">
        <v>104</v>
      </c>
      <c r="C13" s="1" t="s">
        <v>105</v>
      </c>
      <c r="D13" s="32"/>
      <c r="E13" s="32"/>
      <c r="F13" s="32">
        <v>1</v>
      </c>
      <c r="G13" s="32"/>
      <c r="H13" s="1"/>
      <c r="I13" s="32"/>
      <c r="J13" s="1"/>
      <c r="K13" s="1"/>
      <c r="L13" s="1"/>
      <c r="M13" s="1" t="s">
        <v>106</v>
      </c>
      <c r="N13" s="1" t="s">
        <v>107</v>
      </c>
      <c r="O13" s="1"/>
      <c r="P13" s="1">
        <v>30</v>
      </c>
      <c r="Q13" s="14">
        <v>257.58</v>
      </c>
      <c r="R13" s="14">
        <f>(SUM(D13:G13,I13))*Q13</f>
        <v>257.58</v>
      </c>
      <c r="S13" s="1">
        <v>12</v>
      </c>
      <c r="T13">
        <f>+Tableau1[[#This Row],[DELAIS (w)]]*7</f>
        <v>84</v>
      </c>
      <c r="U13">
        <v>11</v>
      </c>
      <c r="V13">
        <v>11</v>
      </c>
      <c r="W13">
        <f>(Tableau1[[#This Row],[DELAIS (w)]]+2)*(2.5*SUM(Tableau1[[#This Row],[086401 - Train mobile équipé pour DIPRO 3x]:[086885 - Ensemble Codeur - DIPRO 3x]]))</f>
        <v>35</v>
      </c>
      <c r="X13">
        <f>+Tableau1[[#This Row],[STOCK disponible]]/(SUM(Tableau1[[#This Row],[086401 - Train mobile équipé pour DIPRO 3x]:[086885 - Ensemble Codeur - DIPRO 3x]])*2.5)</f>
        <v>4.4000000000000004</v>
      </c>
      <c r="Y13" s="9">
        <f ca="1">TODAY()+(Tableau1[[#This Row],[COUVERTURE W (capa 2,5M/S)]]*7)</f>
        <v>46249.8</v>
      </c>
      <c r="Z13" s="9" t="str">
        <f>IF(Tableau1[[#This Row],[STOCK disponible]]&lt;Tableau1[[#This Row],[SEUIL]],"A COMMANDER","")</f>
        <v>A COMMANDER</v>
      </c>
      <c r="AA13">
        <v>30</v>
      </c>
      <c r="AB13" t="s">
        <v>108</v>
      </c>
      <c r="AC13" s="9">
        <v>45429</v>
      </c>
      <c r="AD13" s="9" t="str">
        <f ca="1">IF(ISBLANK(Tableau1[[#This Row],[date de livraison réappro]]),"",(IF(Tableau1[[#This Row],[date de livraison réappro]]&lt;Tableau1[[#This Row],[date de rupture estimé]],"OK","RUPTURE")))</f>
        <v>OK</v>
      </c>
      <c r="AE13" s="17">
        <v>15</v>
      </c>
      <c r="AG13" s="44"/>
      <c r="AH13" s="6" t="s">
        <v>109</v>
      </c>
      <c r="AI13" t="s">
        <v>110</v>
      </c>
      <c r="AJ13" s="247">
        <v>18.59</v>
      </c>
      <c r="AK13" s="6" t="s">
        <v>111</v>
      </c>
      <c r="AL13" s="6" t="s">
        <v>112</v>
      </c>
      <c r="AM13" s="12"/>
      <c r="AN13" s="12">
        <f>Tableau1[[#This Row],[tot tarif ligne]]</f>
        <v>257.58</v>
      </c>
      <c r="AO13" s="12"/>
      <c r="AP13" s="12"/>
      <c r="AQ13" s="12"/>
      <c r="AR13" s="12"/>
      <c r="AS13" s="12"/>
    </row>
    <row r="14" spans="1:45" hidden="1">
      <c r="A14" s="20">
        <v>100105</v>
      </c>
      <c r="B14" s="1" t="s">
        <v>113</v>
      </c>
      <c r="C14" s="1" t="s">
        <v>52</v>
      </c>
      <c r="D14" s="32"/>
      <c r="E14" s="32"/>
      <c r="F14" s="32"/>
      <c r="G14" s="32"/>
      <c r="H14" s="1"/>
      <c r="I14" s="32">
        <v>1</v>
      </c>
      <c r="J14" s="1"/>
      <c r="K14" s="1"/>
      <c r="L14" s="1"/>
      <c r="M14" s="1" t="s">
        <v>86</v>
      </c>
      <c r="N14" s="1" t="s">
        <v>87</v>
      </c>
      <c r="O14" s="1" t="s">
        <v>114</v>
      </c>
      <c r="P14" s="1">
        <v>19</v>
      </c>
      <c r="Q14" s="14">
        <v>250</v>
      </c>
      <c r="R14" s="14">
        <f>(SUM(D14:G14,I14))*Q14</f>
        <v>250</v>
      </c>
      <c r="S14" s="1">
        <v>24</v>
      </c>
      <c r="T14">
        <f>+Tableau1[[#This Row],[DELAIS (w)]]*7</f>
        <v>168</v>
      </c>
      <c r="U14">
        <v>58</v>
      </c>
      <c r="V14">
        <v>58</v>
      </c>
      <c r="W14">
        <f>(Tableau1[[#This Row],[DELAIS (w)]]+2)*(2.5*SUM(Tableau1[[#This Row],[086401 - Train mobile équipé pour DIPRO 3x]:[086885 - Ensemble Codeur - DIPRO 3x]]))</f>
        <v>65</v>
      </c>
      <c r="X14">
        <f>+Tableau1[[#This Row],[STOCK disponible]]/(SUM(Tableau1[[#This Row],[086401 - Train mobile équipé pour DIPRO 3x]:[086885 - Ensemble Codeur - DIPRO 3x]])*2.5)</f>
        <v>23.2</v>
      </c>
      <c r="Y14" s="9">
        <f ca="1">TODAY()+(Tableau1[[#This Row],[COUVERTURE W (capa 2,5M/S)]]*7)</f>
        <v>46381.4</v>
      </c>
      <c r="Z14" s="9" t="str">
        <f>IF(Tableau1[[#This Row],[STOCK disponible]]&lt;Tableau1[[#This Row],[SEUIL]],"A COMMANDER","")</f>
        <v>A COMMANDER</v>
      </c>
      <c r="AD14" s="9" t="str">
        <f>IF(ISBLANK(Tableau1[[#This Row],[date de livraison réappro]]),"",(IF(Tableau1[[#This Row],[date de livraison réappro]]&lt;Tableau1[[#This Row],[date de rupture estimé]],"OK","RUPTURE")))</f>
        <v/>
      </c>
      <c r="AE14" s="19">
        <v>63</v>
      </c>
      <c r="AF14" t="s">
        <v>115</v>
      </c>
      <c r="AG14" s="44"/>
      <c r="AM14" s="12"/>
      <c r="AN14" s="12"/>
      <c r="AO14" s="12"/>
      <c r="AP14" s="12"/>
      <c r="AQ14" s="12"/>
      <c r="AR14" s="12"/>
      <c r="AS14" s="12"/>
    </row>
    <row r="15" spans="1:45" ht="30" hidden="1">
      <c r="A15" s="20" t="s">
        <v>116</v>
      </c>
      <c r="B15" s="1" t="s">
        <v>117</v>
      </c>
      <c r="C15" s="1" t="s">
        <v>60</v>
      </c>
      <c r="D15" s="32">
        <v>6</v>
      </c>
      <c r="E15" s="32">
        <v>6</v>
      </c>
      <c r="F15" s="32"/>
      <c r="G15" s="32"/>
      <c r="H15" s="1"/>
      <c r="I15" s="32"/>
      <c r="J15" s="1"/>
      <c r="K15" s="1"/>
      <c r="L15" s="1"/>
      <c r="M15" s="1" t="s">
        <v>95</v>
      </c>
      <c r="N15" s="1" t="s">
        <v>96</v>
      </c>
      <c r="O15" s="1"/>
      <c r="P15" s="1">
        <v>240</v>
      </c>
      <c r="Q15" s="14">
        <v>18.3</v>
      </c>
      <c r="R15" s="14">
        <f>(SUM(D15:G15,I15))*Q15</f>
        <v>219.60000000000002</v>
      </c>
      <c r="S15" s="1">
        <v>10</v>
      </c>
      <c r="T15">
        <f>+Tableau1[[#This Row],[DELAIS (w)]]*7</f>
        <v>70</v>
      </c>
      <c r="U15">
        <v>400</v>
      </c>
      <c r="V15">
        <v>412</v>
      </c>
      <c r="W15">
        <f>(Tableau1[[#This Row],[DELAIS (w)]]+2)*(2.5*SUM(Tableau1[[#This Row],[086401 - Train mobile équipé pour DIPRO 3x]:[086885 - Ensemble Codeur - DIPRO 3x]]))</f>
        <v>360</v>
      </c>
      <c r="X15">
        <f>+Tableau1[[#This Row],[STOCK disponible]]/(SUM(Tableau1[[#This Row],[086401 - Train mobile équipé pour DIPRO 3x]:[086885 - Ensemble Codeur - DIPRO 3x]])*2.5)</f>
        <v>13.733333333333333</v>
      </c>
      <c r="Y15" s="9">
        <f ca="1">TODAY()+(Tableau1[[#This Row],[COUVERTURE W (capa 2,5M/S)]]*7)</f>
        <v>46315.133333333331</v>
      </c>
      <c r="Z15" s="9" t="str">
        <f>IF(Tableau1[[#This Row],[STOCK disponible]]&lt;Tableau1[[#This Row],[SEUIL]],"A COMMANDER","")</f>
        <v/>
      </c>
      <c r="AA15">
        <v>200</v>
      </c>
      <c r="AB15" t="s">
        <v>97</v>
      </c>
      <c r="AC15" s="9">
        <v>45457</v>
      </c>
      <c r="AD15" s="9" t="str">
        <f ca="1">IF(ISBLANK(Tableau1[[#This Row],[date de livraison réappro]]),"",(IF(Tableau1[[#This Row],[date de livraison réappro]]&lt;Tableau1[[#This Row],[date de rupture estimé]],"OK","RUPTURE")))</f>
        <v>OK</v>
      </c>
      <c r="AE15" s="17">
        <v>200</v>
      </c>
      <c r="AG15" s="44"/>
      <c r="AK15" s="6" t="s">
        <v>118</v>
      </c>
      <c r="AM15" s="12"/>
      <c r="AN15" s="12"/>
      <c r="AO15" s="12">
        <f>Tableau1[[#This Row],[tot tarif ligne]]</f>
        <v>219.60000000000002</v>
      </c>
      <c r="AP15" s="12"/>
      <c r="AQ15" s="12"/>
      <c r="AR15" s="12"/>
      <c r="AS15" s="12"/>
    </row>
    <row r="16" spans="1:45" ht="45" hidden="1">
      <c r="A16" s="20" t="s">
        <v>119</v>
      </c>
      <c r="B16" s="1" t="s">
        <v>120</v>
      </c>
      <c r="C16" s="1"/>
      <c r="D16" s="32"/>
      <c r="E16" s="32"/>
      <c r="F16" s="32">
        <v>1</v>
      </c>
      <c r="G16" s="32"/>
      <c r="H16" s="1"/>
      <c r="I16" s="32"/>
      <c r="J16" s="1"/>
      <c r="K16" s="1"/>
      <c r="L16" s="1"/>
      <c r="M16" s="1" t="s">
        <v>106</v>
      </c>
      <c r="N16" s="1" t="s">
        <v>107</v>
      </c>
      <c r="O16" s="1"/>
      <c r="P16" s="1">
        <v>30</v>
      </c>
      <c r="Q16" s="14">
        <v>216.59</v>
      </c>
      <c r="R16" s="14">
        <f>(SUM(D16:G16,I16))*Q16</f>
        <v>216.59</v>
      </c>
      <c r="S16" s="1">
        <v>12</v>
      </c>
      <c r="T16">
        <f>+Tableau1[[#This Row],[DELAIS (w)]]*7</f>
        <v>84</v>
      </c>
      <c r="U16">
        <v>11</v>
      </c>
      <c r="V16">
        <v>11</v>
      </c>
      <c r="W16">
        <f>(Tableau1[[#This Row],[DELAIS (w)]]+2)*(2.5*SUM(Tableau1[[#This Row],[086401 - Train mobile équipé pour DIPRO 3x]:[086885 - Ensemble Codeur - DIPRO 3x]]))</f>
        <v>35</v>
      </c>
      <c r="X16">
        <f>+Tableau1[[#This Row],[STOCK disponible]]/(SUM(Tableau1[[#This Row],[086401 - Train mobile équipé pour DIPRO 3x]:[086885 - Ensemble Codeur - DIPRO 3x]])*2.5)</f>
        <v>4.4000000000000004</v>
      </c>
      <c r="Y16" s="9">
        <f ca="1">TODAY()+(Tableau1[[#This Row],[COUVERTURE W (capa 2,5M/S)]]*7)</f>
        <v>46249.8</v>
      </c>
      <c r="Z16" s="9" t="str">
        <f>IF(Tableau1[[#This Row],[STOCK disponible]]&lt;Tableau1[[#This Row],[SEUIL]],"A COMMANDER","")</f>
        <v>A COMMANDER</v>
      </c>
      <c r="AA16">
        <v>30</v>
      </c>
      <c r="AB16" t="s">
        <v>108</v>
      </c>
      <c r="AC16" s="9">
        <v>45429</v>
      </c>
      <c r="AD16" s="9" t="str">
        <f ca="1">IF(ISBLANK(Tableau1[[#This Row],[date de livraison réappro]]),"",(IF(Tableau1[[#This Row],[date de livraison réappro]]&lt;Tableau1[[#This Row],[date de rupture estimé]],"OK","RUPTURE")))</f>
        <v>OK</v>
      </c>
      <c r="AE16" s="17">
        <v>15</v>
      </c>
      <c r="AG16" s="44"/>
      <c r="AH16" s="1" t="s">
        <v>121</v>
      </c>
      <c r="AI16" s="7" t="s">
        <v>122</v>
      </c>
      <c r="AJ16" s="7"/>
      <c r="AK16" s="6" t="s">
        <v>123</v>
      </c>
      <c r="AM16" s="12"/>
      <c r="AN16" s="12"/>
      <c r="AO16" s="12"/>
      <c r="AP16" s="12"/>
      <c r="AQ16" s="12"/>
      <c r="AR16" s="12"/>
      <c r="AS16" s="12"/>
    </row>
    <row r="17" spans="1:45" hidden="1">
      <c r="A17" s="20" t="s">
        <v>124</v>
      </c>
      <c r="B17" s="1" t="s">
        <v>125</v>
      </c>
      <c r="C17" s="1"/>
      <c r="D17" s="32"/>
      <c r="E17" s="32"/>
      <c r="F17" s="32">
        <v>1</v>
      </c>
      <c r="G17" s="32"/>
      <c r="H17" s="1"/>
      <c r="I17" s="32"/>
      <c r="J17" s="1"/>
      <c r="K17" s="1"/>
      <c r="L17" s="1"/>
      <c r="M17" s="1" t="s">
        <v>106</v>
      </c>
      <c r="N17" s="1" t="s">
        <v>107</v>
      </c>
      <c r="O17" s="1"/>
      <c r="P17" s="1">
        <v>30</v>
      </c>
      <c r="Q17" s="14">
        <v>199.7</v>
      </c>
      <c r="R17" s="14">
        <f>(SUM(D17:G17,I17))*Q17</f>
        <v>199.7</v>
      </c>
      <c r="S17" s="1">
        <v>12</v>
      </c>
      <c r="T17">
        <f>+Tableau1[[#This Row],[DELAIS (w)]]*7</f>
        <v>84</v>
      </c>
      <c r="U17">
        <v>11</v>
      </c>
      <c r="V17">
        <v>11</v>
      </c>
      <c r="W17">
        <f>(Tableau1[[#This Row],[DELAIS (w)]]+2)*(2.5*SUM(Tableau1[[#This Row],[086401 - Train mobile équipé pour DIPRO 3x]:[086885 - Ensemble Codeur - DIPRO 3x]]))</f>
        <v>35</v>
      </c>
      <c r="X17">
        <f>+Tableau1[[#This Row],[STOCK disponible]]/(SUM(Tableau1[[#This Row],[086401 - Train mobile équipé pour DIPRO 3x]:[086885 - Ensemble Codeur - DIPRO 3x]])*2.5)</f>
        <v>4.4000000000000004</v>
      </c>
      <c r="Y17" s="9">
        <f ca="1">TODAY()+(Tableau1[[#This Row],[COUVERTURE W (capa 2,5M/S)]]*7)</f>
        <v>46249.8</v>
      </c>
      <c r="Z17" s="9" t="str">
        <f>IF(Tableau1[[#This Row],[STOCK disponible]]&lt;Tableau1[[#This Row],[SEUIL]],"A COMMANDER","")</f>
        <v>A COMMANDER</v>
      </c>
      <c r="AA17">
        <v>30</v>
      </c>
      <c r="AB17" t="s">
        <v>108</v>
      </c>
      <c r="AC17" s="9">
        <v>45429</v>
      </c>
      <c r="AD17" s="9" t="str">
        <f ca="1">IF(ISBLANK(Tableau1[[#This Row],[date de livraison réappro]]),"",(IF(Tableau1[[#This Row],[date de livraison réappro]]&lt;Tableau1[[#This Row],[date de rupture estimé]],"OK","RUPTURE")))</f>
        <v>OK</v>
      </c>
      <c r="AE17" s="17">
        <v>15</v>
      </c>
      <c r="AG17" s="44"/>
      <c r="AH17" t="s">
        <v>91</v>
      </c>
      <c r="AI17" t="s">
        <v>91</v>
      </c>
      <c r="AK17" s="6" t="s">
        <v>123</v>
      </c>
      <c r="AM17" s="12"/>
      <c r="AN17" s="12"/>
      <c r="AO17" s="12"/>
      <c r="AP17" s="12"/>
      <c r="AQ17" s="12"/>
      <c r="AR17" s="12"/>
      <c r="AS17" s="12"/>
    </row>
    <row r="18" spans="1:45" ht="91.5" hidden="1">
      <c r="A18" s="20" t="s">
        <v>126</v>
      </c>
      <c r="B18" s="1" t="s">
        <v>127</v>
      </c>
      <c r="C18" s="1"/>
      <c r="D18" s="32"/>
      <c r="E18" s="32"/>
      <c r="F18" s="32">
        <v>1</v>
      </c>
      <c r="G18" s="32"/>
      <c r="H18" s="1"/>
      <c r="I18" s="32"/>
      <c r="J18" s="1"/>
      <c r="K18" s="1"/>
      <c r="L18" s="1"/>
      <c r="M18" s="1" t="s">
        <v>106</v>
      </c>
      <c r="N18" s="1" t="s">
        <v>107</v>
      </c>
      <c r="O18" s="1"/>
      <c r="P18" s="1">
        <v>30</v>
      </c>
      <c r="Q18" s="14">
        <v>133.13</v>
      </c>
      <c r="R18" s="14">
        <f>(SUM(D18:G18,I18))*Q18</f>
        <v>133.13</v>
      </c>
      <c r="S18" s="1">
        <v>12</v>
      </c>
      <c r="T18">
        <f>+Tableau1[[#This Row],[DELAIS (w)]]*7</f>
        <v>84</v>
      </c>
      <c r="U18">
        <v>11</v>
      </c>
      <c r="V18">
        <v>11</v>
      </c>
      <c r="W18">
        <f>(Tableau1[[#This Row],[DELAIS (w)]]+2)*(2.5*SUM(Tableau1[[#This Row],[086401 - Train mobile équipé pour DIPRO 3x]:[086885 - Ensemble Codeur - DIPRO 3x]]))</f>
        <v>35</v>
      </c>
      <c r="X18">
        <f>+Tableau1[[#This Row],[STOCK disponible]]/(SUM(Tableau1[[#This Row],[086401 - Train mobile équipé pour DIPRO 3x]:[086885 - Ensemble Codeur - DIPRO 3x]])*2.5)</f>
        <v>4.4000000000000004</v>
      </c>
      <c r="Y18" s="9">
        <f ca="1">TODAY()+(Tableau1[[#This Row],[COUVERTURE W (capa 2,5M/S)]]*7)</f>
        <v>46249.8</v>
      </c>
      <c r="Z18" s="9" t="str">
        <f>IF(Tableau1[[#This Row],[STOCK disponible]]&lt;Tableau1[[#This Row],[SEUIL]],"A COMMANDER","")</f>
        <v>A COMMANDER</v>
      </c>
      <c r="AA18">
        <v>30</v>
      </c>
      <c r="AB18" t="s">
        <v>108</v>
      </c>
      <c r="AC18" s="9">
        <v>45429</v>
      </c>
      <c r="AD18" s="9" t="str">
        <f ca="1">IF(ISBLANK(Tableau1[[#This Row],[date de livraison réappro]]),"",(IF(Tableau1[[#This Row],[date de livraison réappro]]&lt;Tableau1[[#This Row],[date de rupture estimé]],"OK","RUPTURE")))</f>
        <v>OK</v>
      </c>
      <c r="AE18" s="17">
        <v>15</v>
      </c>
      <c r="AG18" s="44"/>
      <c r="AH18" s="6" t="s">
        <v>128</v>
      </c>
      <c r="AI18" s="7" t="s">
        <v>129</v>
      </c>
      <c r="AJ18" s="7"/>
      <c r="AK18" s="7" t="s">
        <v>129</v>
      </c>
      <c r="AM18" s="12"/>
      <c r="AN18" s="12"/>
      <c r="AO18" s="12"/>
      <c r="AP18" s="12"/>
      <c r="AQ18" s="12"/>
      <c r="AR18" s="12"/>
      <c r="AS18" s="12"/>
    </row>
    <row r="19" spans="1:45" ht="30.75" hidden="1">
      <c r="A19" s="20" t="s">
        <v>130</v>
      </c>
      <c r="B19" s="1" t="s">
        <v>131</v>
      </c>
      <c r="C19" s="1" t="s">
        <v>132</v>
      </c>
      <c r="D19" s="32"/>
      <c r="E19" s="32"/>
      <c r="F19" s="32">
        <v>2</v>
      </c>
      <c r="G19" s="32"/>
      <c r="H19" s="1"/>
      <c r="I19" s="32"/>
      <c r="J19" s="1"/>
      <c r="K19" s="1"/>
      <c r="L19" s="1"/>
      <c r="M19" s="1" t="s">
        <v>133</v>
      </c>
      <c r="N19" s="1" t="s">
        <v>134</v>
      </c>
      <c r="O19" s="1" t="s">
        <v>135</v>
      </c>
      <c r="P19" s="1">
        <v>60</v>
      </c>
      <c r="Q19" s="14">
        <v>65.010000000000005</v>
      </c>
      <c r="R19" s="14">
        <f>(SUM(D19:G19,I19))*Q19</f>
        <v>130.02000000000001</v>
      </c>
      <c r="S19" s="1">
        <v>2</v>
      </c>
      <c r="T19">
        <f>+Tableau1[[#This Row],[DELAIS (w)]]*7</f>
        <v>14</v>
      </c>
      <c r="U19">
        <v>82</v>
      </c>
      <c r="V19">
        <v>82</v>
      </c>
      <c r="W19">
        <f>(Tableau1[[#This Row],[DELAIS (w)]]+2)*(2.5*SUM(Tableau1[[#This Row],[086401 - Train mobile équipé pour DIPRO 3x]:[086885 - Ensemble Codeur - DIPRO 3x]]))</f>
        <v>20</v>
      </c>
      <c r="X19">
        <f>+Tableau1[[#This Row],[STOCK disponible]]/(SUM(Tableau1[[#This Row],[086401 - Train mobile équipé pour DIPRO 3x]:[086885 - Ensemble Codeur - DIPRO 3x]])*2.5)</f>
        <v>16.399999999999999</v>
      </c>
      <c r="Y19" s="9">
        <f ca="1">TODAY()+(Tableau1[[#This Row],[COUVERTURE W (capa 2,5M/S)]]*7)</f>
        <v>46333.8</v>
      </c>
      <c r="Z19" s="9" t="str">
        <f>IF(Tableau1[[#This Row],[STOCK disponible]]&lt;Tableau1[[#This Row],[SEUIL]],"A COMMANDER","")</f>
        <v/>
      </c>
      <c r="AC19" s="25"/>
      <c r="AD19" s="9" t="str">
        <f>IF(ISBLANK(Tableau1[[#This Row],[date de livraison réappro]]),"",(IF(Tableau1[[#This Row],[date de livraison réappro]]&lt;Tableau1[[#This Row],[date de rupture estimé]],"OK","RUPTURE")))</f>
        <v/>
      </c>
      <c r="AE19" s="17">
        <v>40</v>
      </c>
      <c r="AG19" s="44" t="s">
        <v>136</v>
      </c>
      <c r="AH19" t="s">
        <v>137</v>
      </c>
      <c r="AI19" s="1" t="s">
        <v>138</v>
      </c>
      <c r="AK19" s="6" t="s">
        <v>139</v>
      </c>
      <c r="AM19" s="12"/>
      <c r="AN19" s="12"/>
      <c r="AO19" s="12"/>
      <c r="AP19" s="12"/>
      <c r="AQ19" s="12"/>
      <c r="AR19" s="12"/>
      <c r="AS19" s="12"/>
    </row>
    <row r="20" spans="1:45" ht="30.75" hidden="1">
      <c r="A20" s="20" t="s">
        <v>140</v>
      </c>
      <c r="B20" s="1" t="s">
        <v>141</v>
      </c>
      <c r="C20" s="1" t="s">
        <v>60</v>
      </c>
      <c r="D20" s="32"/>
      <c r="E20" s="32">
        <v>1</v>
      </c>
      <c r="F20" s="32"/>
      <c r="G20" s="32"/>
      <c r="H20" s="1"/>
      <c r="I20" s="32"/>
      <c r="J20" s="1"/>
      <c r="K20" s="1"/>
      <c r="L20" s="1"/>
      <c r="M20" s="1" t="s">
        <v>142</v>
      </c>
      <c r="N20" s="1" t="s">
        <v>67</v>
      </c>
      <c r="P20" s="1">
        <v>20</v>
      </c>
      <c r="Q20" s="14">
        <v>112.47</v>
      </c>
      <c r="R20" s="14">
        <f>(SUM(D20:G20,I20))*Q20</f>
        <v>112.47</v>
      </c>
      <c r="S20" s="1">
        <v>9</v>
      </c>
      <c r="T20">
        <f>+Tableau1[[#This Row],[DELAIS (w)]]*7</f>
        <v>63</v>
      </c>
      <c r="U20">
        <v>20</v>
      </c>
      <c r="V20">
        <v>20</v>
      </c>
      <c r="W20">
        <f>(Tableau1[[#This Row],[DELAIS (w)]]+2)*(2.5*SUM(Tableau1[[#This Row],[086401 - Train mobile équipé pour DIPRO 3x]:[086885 - Ensemble Codeur - DIPRO 3x]]))</f>
        <v>27.5</v>
      </c>
      <c r="X20">
        <f>+Tableau1[[#This Row],[STOCK disponible]]/(SUM(Tableau1[[#This Row],[086401 - Train mobile équipé pour DIPRO 3x]:[086885 - Ensemble Codeur - DIPRO 3x]])*2.5)</f>
        <v>8</v>
      </c>
      <c r="Y20" s="9">
        <f ca="1">TODAY()+(Tableau1[[#This Row],[COUVERTURE W (capa 2,5M/S)]]*7)</f>
        <v>46275</v>
      </c>
      <c r="Z20" s="9" t="str">
        <f>IF(Tableau1[[#This Row],[STOCK disponible]]&lt;Tableau1[[#This Row],[SEUIL]],"A COMMANDER","")</f>
        <v>A COMMANDER</v>
      </c>
      <c r="AD20" s="9" t="str">
        <f>IF(ISBLANK(Tableau1[[#This Row],[date de livraison réappro]]),"",(IF(Tableau1[[#This Row],[date de livraison réappro]]&lt;Tableau1[[#This Row],[date de rupture estimé]],"OK","RUPTURE")))</f>
        <v/>
      </c>
      <c r="AE20" s="17">
        <v>4</v>
      </c>
      <c r="AG20" s="44"/>
      <c r="AH20" s="6" t="s">
        <v>143</v>
      </c>
      <c r="AI20" s="7" t="s">
        <v>144</v>
      </c>
      <c r="AJ20" s="7"/>
      <c r="AK20" s="7" t="s">
        <v>144</v>
      </c>
      <c r="AM20" s="12"/>
      <c r="AN20" s="12">
        <f>Tableau1[[#This Row],[tot tarif ligne]]</f>
        <v>112.47</v>
      </c>
      <c r="AO20" s="12"/>
      <c r="AP20" s="12"/>
      <c r="AQ20" s="12"/>
      <c r="AR20" s="12"/>
      <c r="AS20" s="12"/>
    </row>
    <row r="21" spans="1:45" ht="30.75" hidden="1">
      <c r="A21" s="20" t="s">
        <v>145</v>
      </c>
      <c r="B21" s="4" t="s">
        <v>146</v>
      </c>
      <c r="C21" s="4" t="s">
        <v>60</v>
      </c>
      <c r="D21" s="32">
        <v>1</v>
      </c>
      <c r="E21" s="32"/>
      <c r="F21" s="32"/>
      <c r="G21" s="32"/>
      <c r="H21" s="1"/>
      <c r="I21" s="32"/>
      <c r="J21" s="1"/>
      <c r="K21" s="1"/>
      <c r="L21" s="1"/>
      <c r="M21" s="1" t="s">
        <v>142</v>
      </c>
      <c r="N21" s="1" t="s">
        <v>67</v>
      </c>
      <c r="P21" s="1">
        <v>20</v>
      </c>
      <c r="Q21" s="14">
        <v>112.47</v>
      </c>
      <c r="R21" s="14">
        <f>(SUM(D21:G21,I21))*Q21</f>
        <v>112.47</v>
      </c>
      <c r="S21" s="1">
        <v>9</v>
      </c>
      <c r="T21">
        <f>+Tableau1[[#This Row],[DELAIS (w)]]*7</f>
        <v>63</v>
      </c>
      <c r="U21">
        <v>20</v>
      </c>
      <c r="V21">
        <v>20</v>
      </c>
      <c r="W21">
        <f>(Tableau1[[#This Row],[DELAIS (w)]]+2)*(2.5*SUM(Tableau1[[#This Row],[086401 - Train mobile équipé pour DIPRO 3x]:[086885 - Ensemble Codeur - DIPRO 3x]]))</f>
        <v>27.5</v>
      </c>
      <c r="X21">
        <f>+Tableau1[[#This Row],[STOCK disponible]]/(SUM(Tableau1[[#This Row],[086401 - Train mobile équipé pour DIPRO 3x]:[086885 - Ensemble Codeur - DIPRO 3x]])*2.5)</f>
        <v>8</v>
      </c>
      <c r="Y21" s="9">
        <f ca="1">TODAY()+(Tableau1[[#This Row],[COUVERTURE W (capa 2,5M/S)]]*7)</f>
        <v>46275</v>
      </c>
      <c r="Z21" s="9" t="str">
        <f>IF(Tableau1[[#This Row],[STOCK disponible]]&lt;Tableau1[[#This Row],[SEUIL]],"A COMMANDER","")</f>
        <v>A COMMANDER</v>
      </c>
      <c r="AD21" s="9" t="str">
        <f>IF(ISBLANK(Tableau1[[#This Row],[date de livraison réappro]]),"",(IF(Tableau1[[#This Row],[date de livraison réappro]]&lt;Tableau1[[#This Row],[date de rupture estimé]],"OK","RUPTURE")))</f>
        <v/>
      </c>
      <c r="AE21" s="17">
        <v>4</v>
      </c>
      <c r="AG21" s="44"/>
      <c r="AH21" t="s">
        <v>73</v>
      </c>
      <c r="AI21" t="s">
        <v>73</v>
      </c>
      <c r="AK21" s="7" t="s">
        <v>144</v>
      </c>
      <c r="AM21" s="12"/>
      <c r="AN21" s="12">
        <f>Tableau1[[#This Row],[tot tarif ligne]]</f>
        <v>112.47</v>
      </c>
      <c r="AO21" s="12"/>
      <c r="AP21" s="12"/>
      <c r="AQ21" s="12"/>
      <c r="AR21" s="12"/>
      <c r="AS21" s="12"/>
    </row>
    <row r="22" spans="1:45" hidden="1">
      <c r="A22" s="20" t="s">
        <v>147</v>
      </c>
      <c r="B22" s="1" t="s">
        <v>148</v>
      </c>
      <c r="C22" s="1" t="s">
        <v>60</v>
      </c>
      <c r="D22" s="32"/>
      <c r="E22" s="32"/>
      <c r="F22" s="32">
        <v>2</v>
      </c>
      <c r="G22" s="32"/>
      <c r="H22" s="1"/>
      <c r="I22" s="32"/>
      <c r="J22" s="1"/>
      <c r="K22" s="1"/>
      <c r="L22" s="1"/>
      <c r="M22" s="1" t="s">
        <v>95</v>
      </c>
      <c r="N22" s="1" t="s">
        <v>96</v>
      </c>
      <c r="O22" s="1"/>
      <c r="P22" s="1">
        <v>100</v>
      </c>
      <c r="Q22" s="14">
        <v>54.3</v>
      </c>
      <c r="R22" s="14">
        <f>(SUM(D22:G22,I22))*Q22</f>
        <v>108.6</v>
      </c>
      <c r="S22" s="1">
        <v>10</v>
      </c>
      <c r="T22">
        <f>+Tableau1[[#This Row],[DELAIS (w)]]*7</f>
        <v>70</v>
      </c>
      <c r="U22">
        <v>123</v>
      </c>
      <c r="V22">
        <v>123</v>
      </c>
      <c r="W22">
        <f>(Tableau1[[#This Row],[DELAIS (w)]]+2)*(2.5*SUM(Tableau1[[#This Row],[086401 - Train mobile équipé pour DIPRO 3x]:[086885 - Ensemble Codeur - DIPRO 3x]]))</f>
        <v>60</v>
      </c>
      <c r="X22">
        <f>+Tableau1[[#This Row],[STOCK disponible]]/(SUM(Tableau1[[#This Row],[086401 - Train mobile équipé pour DIPRO 3x]:[086885 - Ensemble Codeur - DIPRO 3x]])*2.5)</f>
        <v>24.6</v>
      </c>
      <c r="Y22" s="9">
        <f ca="1">TODAY()+(Tableau1[[#This Row],[COUVERTURE W (capa 2,5M/S)]]*7)</f>
        <v>46391.199999999997</v>
      </c>
      <c r="Z22" s="9" t="str">
        <f>IF(Tableau1[[#This Row],[STOCK disponible]]&lt;Tableau1[[#This Row],[SEUIL]],"A COMMANDER","")</f>
        <v/>
      </c>
      <c r="AD22" s="9" t="str">
        <f>IF(ISBLANK(Tableau1[[#This Row],[date de livraison réappro]]),"",(IF(Tableau1[[#This Row],[date de livraison réappro]]&lt;Tableau1[[#This Row],[date de rupture estimé]],"OK","RUPTURE")))</f>
        <v/>
      </c>
      <c r="AE22" s="17">
        <v>101</v>
      </c>
      <c r="AG22" s="44"/>
      <c r="AI22" t="s">
        <v>98</v>
      </c>
      <c r="AK22" s="6" t="s">
        <v>118</v>
      </c>
      <c r="AM22" s="12"/>
      <c r="AN22" s="12"/>
      <c r="AO22" s="12">
        <f>Tableau1[[#This Row],[tot tarif ligne]]</f>
        <v>108.6</v>
      </c>
      <c r="AP22" s="12"/>
      <c r="AQ22" s="12"/>
      <c r="AR22" s="12"/>
      <c r="AS22" s="12"/>
    </row>
    <row r="23" spans="1:45" ht="30.75" hidden="1">
      <c r="A23" s="20">
        <v>100114</v>
      </c>
      <c r="B23" t="s">
        <v>149</v>
      </c>
      <c r="C23" t="s">
        <v>132</v>
      </c>
      <c r="D23" s="32"/>
      <c r="E23" s="32"/>
      <c r="F23" s="32">
        <v>1</v>
      </c>
      <c r="G23" s="32"/>
      <c r="H23" s="1"/>
      <c r="I23" s="32"/>
      <c r="J23" s="1"/>
      <c r="K23" s="1"/>
      <c r="L23" s="1"/>
      <c r="M23" s="1" t="s">
        <v>133</v>
      </c>
      <c r="N23" s="1" t="s">
        <v>134</v>
      </c>
      <c r="O23" s="1" t="s">
        <v>150</v>
      </c>
      <c r="P23" s="1">
        <v>30</v>
      </c>
      <c r="Q23" s="14">
        <v>96.18</v>
      </c>
      <c r="R23" s="14">
        <f>(SUM(D23:G23,I23))*Q23</f>
        <v>96.18</v>
      </c>
      <c r="S23" s="1">
        <v>2</v>
      </c>
      <c r="T23">
        <f>+Tableau1[[#This Row],[DELAIS (w)]]*7</f>
        <v>14</v>
      </c>
      <c r="U23">
        <v>41</v>
      </c>
      <c r="V23">
        <v>41</v>
      </c>
      <c r="W23">
        <f>(Tableau1[[#This Row],[DELAIS (w)]]+2)*(2.5*SUM(Tableau1[[#This Row],[086401 - Train mobile équipé pour DIPRO 3x]:[086885 - Ensemble Codeur - DIPRO 3x]]))</f>
        <v>10</v>
      </c>
      <c r="X23">
        <f>+Tableau1[[#This Row],[STOCK disponible]]/(SUM(Tableau1[[#This Row],[086401 - Train mobile équipé pour DIPRO 3x]:[086885 - Ensemble Codeur - DIPRO 3x]])*2.5)</f>
        <v>16.399999999999999</v>
      </c>
      <c r="Y23" s="9">
        <f ca="1">TODAY()+(Tableau1[[#This Row],[COUVERTURE W (capa 2,5M/S)]]*7)</f>
        <v>46333.8</v>
      </c>
      <c r="Z23" s="9" t="str">
        <f>IF(Tableau1[[#This Row],[STOCK disponible]]&lt;Tableau1[[#This Row],[SEUIL]],"A COMMANDER","")</f>
        <v/>
      </c>
      <c r="AC23" s="25"/>
      <c r="AD23" s="9" t="str">
        <f>IF(ISBLANK(Tableau1[[#This Row],[date de livraison réappro]]),"",(IF(Tableau1[[#This Row],[date de livraison réappro]]&lt;Tableau1[[#This Row],[date de rupture estimé]],"OK","RUPTURE")))</f>
        <v/>
      </c>
      <c r="AE23" s="17">
        <v>0</v>
      </c>
      <c r="AG23" s="44" t="s">
        <v>136</v>
      </c>
      <c r="AH23" t="s">
        <v>151</v>
      </c>
      <c r="AI23" s="7" t="s">
        <v>152</v>
      </c>
      <c r="AJ23" s="7"/>
      <c r="AK23" s="6" t="s">
        <v>139</v>
      </c>
      <c r="AM23" s="12"/>
      <c r="AN23" s="12"/>
      <c r="AO23" s="12"/>
      <c r="AP23" s="12"/>
      <c r="AQ23" s="12"/>
      <c r="AR23" s="12"/>
      <c r="AS23" s="12"/>
    </row>
    <row r="24" spans="1:45" ht="30.75" hidden="1">
      <c r="A24" s="20">
        <v>100116</v>
      </c>
      <c r="B24" t="s">
        <v>153</v>
      </c>
      <c r="C24" t="s">
        <v>132</v>
      </c>
      <c r="D24" s="32"/>
      <c r="E24" s="32"/>
      <c r="F24" s="32">
        <v>1</v>
      </c>
      <c r="G24" s="32"/>
      <c r="H24" s="1"/>
      <c r="I24" s="32"/>
      <c r="J24" s="1"/>
      <c r="K24" s="1"/>
      <c r="L24" s="1"/>
      <c r="M24" s="1" t="s">
        <v>133</v>
      </c>
      <c r="N24" s="1" t="s">
        <v>134</v>
      </c>
      <c r="O24" s="1" t="s">
        <v>154</v>
      </c>
      <c r="P24" s="1">
        <v>30</v>
      </c>
      <c r="Q24" s="14">
        <v>96.18</v>
      </c>
      <c r="R24" s="14">
        <f>(SUM(D24:G24,I24))*Q24</f>
        <v>96.18</v>
      </c>
      <c r="S24" s="1">
        <v>2</v>
      </c>
      <c r="T24">
        <f>+Tableau1[[#This Row],[DELAIS (w)]]*7</f>
        <v>14</v>
      </c>
      <c r="U24">
        <v>41</v>
      </c>
      <c r="V24">
        <v>41</v>
      </c>
      <c r="W24">
        <f>(Tableau1[[#This Row],[DELAIS (w)]]+2)*(2.5*SUM(Tableau1[[#This Row],[086401 - Train mobile équipé pour DIPRO 3x]:[086885 - Ensemble Codeur - DIPRO 3x]]))</f>
        <v>10</v>
      </c>
      <c r="X24">
        <f>+Tableau1[[#This Row],[STOCK disponible]]/(SUM(Tableau1[[#This Row],[086401 - Train mobile équipé pour DIPRO 3x]:[086885 - Ensemble Codeur - DIPRO 3x]])*2.5)</f>
        <v>16.399999999999999</v>
      </c>
      <c r="Y24" s="9">
        <f ca="1">TODAY()+(Tableau1[[#This Row],[COUVERTURE W (capa 2,5M/S)]]*7)</f>
        <v>46333.8</v>
      </c>
      <c r="Z24" s="9" t="str">
        <f>IF(Tableau1[[#This Row],[STOCK disponible]]&lt;Tableau1[[#This Row],[SEUIL]],"A COMMANDER","")</f>
        <v/>
      </c>
      <c r="AC24" s="25"/>
      <c r="AD24" s="9" t="str">
        <f>IF(ISBLANK(Tableau1[[#This Row],[date de livraison réappro]]),"",(IF(Tableau1[[#This Row],[date de livraison réappro]]&lt;Tableau1[[#This Row],[date de rupture estimé]],"OK","RUPTURE")))</f>
        <v/>
      </c>
      <c r="AE24" s="17">
        <v>0</v>
      </c>
      <c r="AG24" s="44" t="s">
        <v>155</v>
      </c>
      <c r="AH24" t="s">
        <v>73</v>
      </c>
      <c r="AI24" t="s">
        <v>156</v>
      </c>
      <c r="AK24" s="6" t="s">
        <v>139</v>
      </c>
      <c r="AM24" s="12"/>
      <c r="AN24" s="12"/>
      <c r="AO24" s="12"/>
      <c r="AP24" s="12"/>
      <c r="AQ24" s="12"/>
      <c r="AR24" s="12"/>
      <c r="AS24" s="12"/>
    </row>
    <row r="25" spans="1:45" ht="30.75" hidden="1">
      <c r="A25" s="20" t="s">
        <v>157</v>
      </c>
      <c r="B25" s="1" t="s">
        <v>158</v>
      </c>
      <c r="C25" s="1" t="s">
        <v>60</v>
      </c>
      <c r="D25" s="32"/>
      <c r="E25" s="32">
        <v>1</v>
      </c>
      <c r="F25" s="32"/>
      <c r="G25" s="32"/>
      <c r="H25" s="1"/>
      <c r="I25" s="32"/>
      <c r="J25" s="1"/>
      <c r="K25" s="1"/>
      <c r="L25" s="1"/>
      <c r="M25" s="1" t="s">
        <v>66</v>
      </c>
      <c r="N25" s="1" t="s">
        <v>67</v>
      </c>
      <c r="O25" s="1"/>
      <c r="P25" s="1">
        <v>30</v>
      </c>
      <c r="Q25" s="14">
        <v>69.569999999999993</v>
      </c>
      <c r="R25" s="14">
        <f>(SUM(D25:G25,I25))*Q25</f>
        <v>69.569999999999993</v>
      </c>
      <c r="S25" s="1">
        <v>7</v>
      </c>
      <c r="T25">
        <f>+Tableau1[[#This Row],[DELAIS (w)]]*7</f>
        <v>49</v>
      </c>
      <c r="U25">
        <v>31</v>
      </c>
      <c r="V25">
        <v>31</v>
      </c>
      <c r="W25">
        <f>(Tableau1[[#This Row],[DELAIS (w)]]+2)*(2.5*SUM(Tableau1[[#This Row],[086401 - Train mobile équipé pour DIPRO 3x]:[086885 - Ensemble Codeur - DIPRO 3x]]))</f>
        <v>22.5</v>
      </c>
      <c r="X25">
        <f>+Tableau1[[#This Row],[STOCK disponible]]/(SUM(Tableau1[[#This Row],[086401 - Train mobile équipé pour DIPRO 3x]:[086885 - Ensemble Codeur - DIPRO 3x]])*2.5)</f>
        <v>12.4</v>
      </c>
      <c r="Y25" s="9">
        <f ca="1">TODAY()+(Tableau1[[#This Row],[COUVERTURE W (capa 2,5M/S)]]*7)</f>
        <v>46305.8</v>
      </c>
      <c r="Z25" s="9" t="str">
        <f>IF(Tableau1[[#This Row],[STOCK disponible]]&lt;Tableau1[[#This Row],[SEUIL]],"A COMMANDER","")</f>
        <v/>
      </c>
      <c r="AD25" s="9" t="str">
        <f>IF(ISBLANK(Tableau1[[#This Row],[date de livraison réappro]]),"",(IF(Tableau1[[#This Row],[date de livraison réappro]]&lt;Tableau1[[#This Row],[date de rupture estimé]],"OK","RUPTURE")))</f>
        <v/>
      </c>
      <c r="AE25" s="17">
        <v>0</v>
      </c>
      <c r="AG25" s="44"/>
      <c r="AH25" t="s">
        <v>143</v>
      </c>
      <c r="AI25" s="7" t="s">
        <v>159</v>
      </c>
      <c r="AK25" s="6" t="s">
        <v>160</v>
      </c>
      <c r="AL25" t="s">
        <v>161</v>
      </c>
      <c r="AM25" s="12"/>
      <c r="AN25" s="12"/>
      <c r="AO25" s="12"/>
      <c r="AP25" s="12"/>
      <c r="AQ25" s="12"/>
      <c r="AR25" s="12"/>
      <c r="AS25" s="12"/>
    </row>
    <row r="26" spans="1:45" ht="60.75" hidden="1">
      <c r="A26" s="20" t="s">
        <v>162</v>
      </c>
      <c r="B26" s="4" t="s">
        <v>163</v>
      </c>
      <c r="C26" s="4" t="s">
        <v>60</v>
      </c>
      <c r="D26" s="32">
        <v>1</v>
      </c>
      <c r="E26" s="32"/>
      <c r="F26" s="32"/>
      <c r="G26" s="32"/>
      <c r="H26" s="1"/>
      <c r="I26" s="32"/>
      <c r="J26" s="1"/>
      <c r="K26" s="1"/>
      <c r="L26" s="1"/>
      <c r="M26" s="1" t="s">
        <v>66</v>
      </c>
      <c r="N26" s="1" t="s">
        <v>67</v>
      </c>
      <c r="O26" s="1"/>
      <c r="P26" s="1">
        <v>30</v>
      </c>
      <c r="Q26" s="14">
        <v>69.569999999999993</v>
      </c>
      <c r="R26" s="14">
        <f>(SUM(D26:G26,I26))*Q26</f>
        <v>69.569999999999993</v>
      </c>
      <c r="S26" s="1">
        <v>7</v>
      </c>
      <c r="T26">
        <f>+Tableau1[[#This Row],[DELAIS (w)]]*7</f>
        <v>49</v>
      </c>
      <c r="U26">
        <v>31</v>
      </c>
      <c r="V26">
        <v>31</v>
      </c>
      <c r="W26">
        <f>(Tableau1[[#This Row],[DELAIS (w)]]+2)*(2.5*SUM(Tableau1[[#This Row],[086401 - Train mobile équipé pour DIPRO 3x]:[086885 - Ensemble Codeur - DIPRO 3x]]))</f>
        <v>22.5</v>
      </c>
      <c r="X26">
        <f>+Tableau1[[#This Row],[STOCK disponible]]/(SUM(Tableau1[[#This Row],[086401 - Train mobile équipé pour DIPRO 3x]:[086885 - Ensemble Codeur - DIPRO 3x]])*2.5)</f>
        <v>12.4</v>
      </c>
      <c r="Y26" s="9">
        <f ca="1">TODAY()+(Tableau1[[#This Row],[COUVERTURE W (capa 2,5M/S)]]*7)</f>
        <v>46305.8</v>
      </c>
      <c r="Z26" s="9" t="str">
        <f>IF(Tableau1[[#This Row],[STOCK disponible]]&lt;Tableau1[[#This Row],[SEUIL]],"A COMMANDER","")</f>
        <v/>
      </c>
      <c r="AD26" s="9" t="str">
        <f>IF(ISBLANK(Tableau1[[#This Row],[date de livraison réappro]]),"",(IF(Tableau1[[#This Row],[date de livraison réappro]]&lt;Tableau1[[#This Row],[date de rupture estimé]],"OK","RUPTURE")))</f>
        <v/>
      </c>
      <c r="AE26" s="17">
        <v>0</v>
      </c>
      <c r="AG26" s="44"/>
      <c r="AH26" t="s">
        <v>73</v>
      </c>
      <c r="AI26" t="s">
        <v>73</v>
      </c>
      <c r="AK26" s="6" t="s">
        <v>160</v>
      </c>
      <c r="AL26" s="6" t="s">
        <v>164</v>
      </c>
      <c r="AM26" s="12"/>
      <c r="AN26" s="12"/>
      <c r="AO26" s="12"/>
      <c r="AP26" s="12"/>
      <c r="AQ26" s="12"/>
      <c r="AR26" s="12"/>
      <c r="AS26" s="12"/>
    </row>
    <row r="27" spans="1:45" hidden="1">
      <c r="A27" s="20" t="s">
        <v>165</v>
      </c>
      <c r="B27" s="1" t="s">
        <v>166</v>
      </c>
      <c r="C27" s="1" t="s">
        <v>60</v>
      </c>
      <c r="D27" s="32">
        <v>2</v>
      </c>
      <c r="E27" s="32">
        <v>2</v>
      </c>
      <c r="F27" s="32"/>
      <c r="G27" s="32"/>
      <c r="H27" s="1"/>
      <c r="I27" s="32"/>
      <c r="J27" s="1"/>
      <c r="K27" s="1"/>
      <c r="L27" s="1"/>
      <c r="M27" s="1" t="s">
        <v>142</v>
      </c>
      <c r="N27" s="1" t="s">
        <v>167</v>
      </c>
      <c r="O27" s="1"/>
      <c r="P27" s="1">
        <v>80</v>
      </c>
      <c r="Q27" s="14">
        <v>17</v>
      </c>
      <c r="R27" s="14">
        <f>(SUM(D27:G27,I27))*Q27</f>
        <v>68</v>
      </c>
      <c r="S27" s="1">
        <v>4</v>
      </c>
      <c r="T27">
        <f>+Tableau1[[#This Row],[DELAIS (w)]]*7</f>
        <v>28</v>
      </c>
      <c r="U27">
        <v>84</v>
      </c>
      <c r="V27">
        <v>84</v>
      </c>
      <c r="W27">
        <f>(Tableau1[[#This Row],[DELAIS (w)]]+2)*(2.5*SUM(Tableau1[[#This Row],[086401 - Train mobile équipé pour DIPRO 3x]:[086885 - Ensemble Codeur - DIPRO 3x]]))</f>
        <v>60</v>
      </c>
      <c r="X27">
        <f>+Tableau1[[#This Row],[STOCK disponible]]/(SUM(Tableau1[[#This Row],[086401 - Train mobile équipé pour DIPRO 3x]:[086885 - Ensemble Codeur - DIPRO 3x]])*2.5)</f>
        <v>8.4</v>
      </c>
      <c r="Y27" s="9">
        <f ca="1">TODAY()+(Tableau1[[#This Row],[COUVERTURE W (capa 2,5M/S)]]*7)</f>
        <v>46277.8</v>
      </c>
      <c r="Z27" s="9" t="str">
        <f>IF(Tableau1[[#This Row],[STOCK disponible]]&lt;Tableau1[[#This Row],[SEUIL]],"A COMMANDER","")</f>
        <v/>
      </c>
      <c r="AD27" s="9" t="str">
        <f>IF(ISBLANK(Tableau1[[#This Row],[date de livraison réappro]]),"",(IF(Tableau1[[#This Row],[date de livraison réappro]]&lt;Tableau1[[#This Row],[date de rupture estimé]],"OK","RUPTURE")))</f>
        <v/>
      </c>
      <c r="AE27" s="16"/>
      <c r="AG27" s="44"/>
      <c r="AK27" s="6" t="s">
        <v>92</v>
      </c>
      <c r="AM27" s="12"/>
      <c r="AN27" s="12"/>
      <c r="AO27" s="12"/>
      <c r="AP27" s="12"/>
      <c r="AQ27" s="12">
        <f>Tableau1[[#This Row],[tot tarif ligne]]</f>
        <v>68</v>
      </c>
      <c r="AR27" s="12"/>
      <c r="AS27" s="12"/>
    </row>
    <row r="28" spans="1:45" hidden="1">
      <c r="A28" s="20">
        <v>100117</v>
      </c>
      <c r="B28" t="s">
        <v>168</v>
      </c>
      <c r="C28" t="s">
        <v>132</v>
      </c>
      <c r="D28" s="32"/>
      <c r="E28" s="32"/>
      <c r="F28" s="32">
        <v>2</v>
      </c>
      <c r="G28" s="32"/>
      <c r="H28" s="1"/>
      <c r="I28" s="32"/>
      <c r="J28" s="1"/>
      <c r="K28" s="1"/>
      <c r="L28" s="1"/>
      <c r="M28" s="1" t="s">
        <v>133</v>
      </c>
      <c r="N28" s="1" t="s">
        <v>134</v>
      </c>
      <c r="O28" s="1" t="s">
        <v>169</v>
      </c>
      <c r="P28" s="1">
        <v>60</v>
      </c>
      <c r="Q28" s="14">
        <v>29.46</v>
      </c>
      <c r="R28" s="14">
        <f>(SUM(D28:G28,I28))*Q28</f>
        <v>58.92</v>
      </c>
      <c r="S28" s="1">
        <v>2</v>
      </c>
      <c r="T28">
        <f>+Tableau1[[#This Row],[DELAIS (w)]]*7</f>
        <v>14</v>
      </c>
      <c r="U28">
        <v>82</v>
      </c>
      <c r="V28">
        <v>82</v>
      </c>
      <c r="W28">
        <f>(Tableau1[[#This Row],[DELAIS (w)]]+2)*(2.5*SUM(Tableau1[[#This Row],[086401 - Train mobile équipé pour DIPRO 3x]:[086885 - Ensemble Codeur - DIPRO 3x]]))</f>
        <v>20</v>
      </c>
      <c r="X28">
        <f>+Tableau1[[#This Row],[STOCK disponible]]/(SUM(Tableau1[[#This Row],[086401 - Train mobile équipé pour DIPRO 3x]:[086885 - Ensemble Codeur - DIPRO 3x]])*2.5)</f>
        <v>16.399999999999999</v>
      </c>
      <c r="Y28" s="9">
        <f ca="1">TODAY()+(Tableau1[[#This Row],[COUVERTURE W (capa 2,5M/S)]]*7)</f>
        <v>46333.8</v>
      </c>
      <c r="Z28" s="9" t="str">
        <f>IF(Tableau1[[#This Row],[STOCK disponible]]&lt;Tableau1[[#This Row],[SEUIL]],"A COMMANDER","")</f>
        <v/>
      </c>
      <c r="AC28" s="25"/>
      <c r="AD28" s="9" t="str">
        <f>IF(ISBLANK(Tableau1[[#This Row],[date de livraison réappro]]),"",(IF(Tableau1[[#This Row],[date de livraison réappro]]&lt;Tableau1[[#This Row],[date de rupture estimé]],"OK","RUPTURE")))</f>
        <v/>
      </c>
      <c r="AE28" s="17">
        <v>0</v>
      </c>
      <c r="AG28" s="44"/>
      <c r="AK28" s="6" t="s">
        <v>123</v>
      </c>
      <c r="AM28" s="12"/>
      <c r="AN28" s="12"/>
      <c r="AO28" s="12"/>
      <c r="AP28" s="12"/>
      <c r="AQ28" s="12"/>
      <c r="AR28" s="12"/>
      <c r="AS28" s="12"/>
    </row>
    <row r="29" spans="1:45" ht="30.75" hidden="1">
      <c r="A29" s="20" t="s">
        <v>170</v>
      </c>
      <c r="B29" t="s">
        <v>171</v>
      </c>
      <c r="C29" t="s">
        <v>60</v>
      </c>
      <c r="D29" s="29">
        <v>2</v>
      </c>
      <c r="E29" s="32"/>
      <c r="F29" s="32"/>
      <c r="G29" s="32"/>
      <c r="H29" s="1"/>
      <c r="I29" s="32"/>
      <c r="J29" s="1"/>
      <c r="K29" s="1"/>
      <c r="L29" s="1"/>
      <c r="M29" s="1"/>
      <c r="N29" s="1" t="s">
        <v>61</v>
      </c>
      <c r="O29" s="1"/>
      <c r="P29" s="1">
        <v>40</v>
      </c>
      <c r="Q29" s="14">
        <v>27</v>
      </c>
      <c r="R29" s="14">
        <f>(SUM(D29:G29,I29))*Q29</f>
        <v>54</v>
      </c>
      <c r="S29" s="1"/>
      <c r="T29">
        <f>+Tableau1[[#This Row],[DELAIS (w)]]*7</f>
        <v>0</v>
      </c>
      <c r="U29"/>
      <c r="W29">
        <f>(Tableau1[[#This Row],[DELAIS (w)]]+2)*(2*SUM(Tableau1[[#This Row],[086401 - Train mobile équipé pour DIPRO 3x]:[086885 - Ensemble Codeur - DIPRO 3x]]))</f>
        <v>8</v>
      </c>
      <c r="X29">
        <f>+Tableau1[[#This Row],[STOCK disponible]]/(SUM(Tableau1[[#This Row],[086401 - Train mobile équipé pour DIPRO 3x]:[086885 - Ensemble Codeur - DIPRO 3x]])*2.5)</f>
        <v>0</v>
      </c>
      <c r="Y29" s="9">
        <f ca="1">TODAY()+(Tableau1[[#This Row],[COUVERTURE W (capa 2,5M/S)]]*7)</f>
        <v>46219</v>
      </c>
      <c r="Z29" s="9"/>
      <c r="AD29" s="9" t="str">
        <f>IF(ISBLANK(Tableau1[[#This Row],[date de livraison réappro]]),"",(IF(Tableau1[[#This Row],[date de livraison réappro]]&lt;Tableau1[[#This Row],[date de rupture estimé]],"OK","RUPTURE")))</f>
        <v/>
      </c>
      <c r="AE29" s="16"/>
      <c r="AG29" s="44"/>
      <c r="AK29" s="6" t="s">
        <v>102</v>
      </c>
      <c r="AM29" s="12">
        <f>Tableau1[[#This Row],[tot tarif ligne]]</f>
        <v>54</v>
      </c>
      <c r="AN29" s="12"/>
      <c r="AO29" s="12"/>
      <c r="AP29" s="12"/>
      <c r="AQ29" s="12"/>
      <c r="AR29" s="12"/>
      <c r="AS29" s="12"/>
    </row>
    <row r="30" spans="1:45" hidden="1">
      <c r="A30" s="21">
        <v>100113</v>
      </c>
      <c r="B30" t="s">
        <v>172</v>
      </c>
      <c r="D30" s="29">
        <v>16</v>
      </c>
      <c r="E30" s="32">
        <v>28</v>
      </c>
      <c r="F30" s="32"/>
      <c r="G30" s="32"/>
      <c r="H30" s="1"/>
      <c r="I30" s="32"/>
      <c r="J30" s="1"/>
      <c r="K30" s="1"/>
      <c r="L30" s="1"/>
      <c r="M30" s="1" t="s">
        <v>133</v>
      </c>
      <c r="N30" s="1" t="s">
        <v>173</v>
      </c>
      <c r="O30" s="1" t="s">
        <v>174</v>
      </c>
      <c r="P30" s="1">
        <v>880</v>
      </c>
      <c r="Q30" s="14">
        <v>1.1000000000000001</v>
      </c>
      <c r="R30" s="14">
        <f>(SUM(D30:G30,I30))*Q30</f>
        <v>48.400000000000006</v>
      </c>
      <c r="S30" s="1"/>
      <c r="T30">
        <f>+Tableau1[[#This Row],[DELAIS (w)]]*7</f>
        <v>0</v>
      </c>
      <c r="U30"/>
      <c r="W30">
        <f>(Tableau1[[#This Row],[DELAIS (w)]]+2)*(2*SUM(Tableau1[[#This Row],[086401 - Train mobile équipé pour DIPRO 3x]:[086885 - Ensemble Codeur - DIPRO 3x]]))</f>
        <v>176</v>
      </c>
      <c r="X30">
        <f>+Tableau1[[#This Row],[STOCK disponible]]/(SUM(Tableau1[[#This Row],[086401 - Train mobile équipé pour DIPRO 3x]:[086885 - Ensemble Codeur - DIPRO 3x]])*2.5)</f>
        <v>0</v>
      </c>
      <c r="Y30" s="9">
        <f ca="1">TODAY()+(Tableau1[[#This Row],[COUVERTURE W (capa 2,5M/S)]]*7)</f>
        <v>46219</v>
      </c>
      <c r="Z30" s="9"/>
      <c r="AD30" s="9" t="str">
        <f>IF(ISBLANK(Tableau1[[#This Row],[date de livraison réappro]]),"",(IF(Tableau1[[#This Row],[date de livraison réappro]]&lt;Tableau1[[#This Row],[date de rupture estimé]],"OK","RUPTURE")))</f>
        <v/>
      </c>
      <c r="AE30" s="16"/>
      <c r="AG30" s="44"/>
      <c r="AK30" s="6" t="s">
        <v>175</v>
      </c>
      <c r="AM30" s="12"/>
      <c r="AN30" s="12"/>
      <c r="AO30" s="12"/>
      <c r="AP30" s="12"/>
      <c r="AQ30" s="12"/>
      <c r="AR30" s="12"/>
      <c r="AS30" s="12"/>
    </row>
    <row r="31" spans="1:45" hidden="1">
      <c r="A31" s="20" t="s">
        <v>176</v>
      </c>
      <c r="B31" s="1" t="s">
        <v>177</v>
      </c>
      <c r="C31" s="1" t="s">
        <v>178</v>
      </c>
      <c r="D31" s="32"/>
      <c r="E31" s="32">
        <v>1</v>
      </c>
      <c r="F31" s="32"/>
      <c r="G31" s="32"/>
      <c r="H31" s="1"/>
      <c r="I31" s="32"/>
      <c r="J31" s="1"/>
      <c r="K31" s="1"/>
      <c r="L31" s="1"/>
      <c r="M31" s="1" t="s">
        <v>66</v>
      </c>
      <c r="N31" s="1" t="s">
        <v>179</v>
      </c>
      <c r="O31" s="1"/>
      <c r="P31" s="1">
        <v>20</v>
      </c>
      <c r="Q31" s="14">
        <v>44.8</v>
      </c>
      <c r="R31" s="14">
        <f>(SUM(D31:G31,I31))*Q31</f>
        <v>44.8</v>
      </c>
      <c r="S31" s="1">
        <v>5</v>
      </c>
      <c r="T31">
        <f>+Tableau1[[#This Row],[DELAIS (w)]]*7</f>
        <v>35</v>
      </c>
      <c r="U31">
        <v>21</v>
      </c>
      <c r="V31">
        <v>21</v>
      </c>
      <c r="W31">
        <f>(Tableau1[[#This Row],[DELAIS (w)]]+2)*(2.5*SUM(Tableau1[[#This Row],[086401 - Train mobile équipé pour DIPRO 3x]:[086885 - Ensemble Codeur - DIPRO 3x]]))</f>
        <v>17.5</v>
      </c>
      <c r="X31">
        <f>+Tableau1[[#This Row],[STOCK disponible]]/(SUM(Tableau1[[#This Row],[086401 - Train mobile équipé pour DIPRO 3x]:[086885 - Ensemble Codeur - DIPRO 3x]])*2.5)</f>
        <v>8.4</v>
      </c>
      <c r="Y31" s="9">
        <f ca="1">TODAY()+(Tableau1[[#This Row],[COUVERTURE W (capa 2,5M/S)]]*7)</f>
        <v>46277.8</v>
      </c>
      <c r="Z31" s="9" t="str">
        <f>IF(Tableau1[[#This Row],[STOCK disponible]]&lt;Tableau1[[#This Row],[SEUIL]],"A COMMANDER","")</f>
        <v/>
      </c>
      <c r="AD31" s="9" t="str">
        <f>IF(ISBLANK(Tableau1[[#This Row],[date de livraison réappro]]),"",(IF(Tableau1[[#This Row],[date de livraison réappro]]&lt;Tableau1[[#This Row],[date de rupture estimé]],"OK","RUPTURE")))</f>
        <v/>
      </c>
      <c r="AE31" s="17">
        <v>0</v>
      </c>
      <c r="AG31" s="44"/>
      <c r="AI31" t="s">
        <v>180</v>
      </c>
      <c r="AK31" s="6" t="s">
        <v>92</v>
      </c>
      <c r="AM31" s="12"/>
      <c r="AN31" s="12"/>
      <c r="AO31" s="12"/>
      <c r="AP31" s="12"/>
      <c r="AQ31" s="12">
        <f>Tableau1[[#This Row],[tot tarif ligne]]</f>
        <v>44.8</v>
      </c>
      <c r="AR31" s="12"/>
      <c r="AS31" s="12"/>
    </row>
    <row r="32" spans="1:45" ht="30" hidden="1">
      <c r="A32" s="20" t="s">
        <v>181</v>
      </c>
      <c r="B32" t="s">
        <v>182</v>
      </c>
      <c r="C32" t="s">
        <v>60</v>
      </c>
      <c r="D32" s="29">
        <v>2</v>
      </c>
      <c r="E32" s="32"/>
      <c r="F32" s="32"/>
      <c r="G32" s="32"/>
      <c r="H32" s="1"/>
      <c r="I32" s="32"/>
      <c r="J32" s="1"/>
      <c r="K32" s="1"/>
      <c r="L32" s="1"/>
      <c r="M32" s="1"/>
      <c r="N32" s="1" t="s">
        <v>61</v>
      </c>
      <c r="O32" s="1"/>
      <c r="P32" s="1">
        <v>40</v>
      </c>
      <c r="Q32" s="14">
        <v>22</v>
      </c>
      <c r="R32" s="14">
        <f>(SUM(D32:G32,I32))*Q32</f>
        <v>44</v>
      </c>
      <c r="S32" s="1"/>
      <c r="T32">
        <f>+Tableau1[[#This Row],[DELAIS (w)]]*7</f>
        <v>0</v>
      </c>
      <c r="U32"/>
      <c r="W32">
        <f>(Tableau1[[#This Row],[DELAIS (w)]]+2)*(2*SUM(Tableau1[[#This Row],[086401 - Train mobile équipé pour DIPRO 3x]:[086885 - Ensemble Codeur - DIPRO 3x]]))</f>
        <v>8</v>
      </c>
      <c r="X32">
        <f>+Tableau1[[#This Row],[STOCK disponible]]/(SUM(Tableau1[[#This Row],[086401 - Train mobile équipé pour DIPRO 3x]:[086885 - Ensemble Codeur - DIPRO 3x]])*2.5)</f>
        <v>0</v>
      </c>
      <c r="Y32" s="9">
        <f ca="1">TODAY()+(Tableau1[[#This Row],[COUVERTURE W (capa 2,5M/S)]]*7)</f>
        <v>46219</v>
      </c>
      <c r="Z32" s="9"/>
      <c r="AD32" s="9" t="str">
        <f>IF(ISBLANK(Tableau1[[#This Row],[date de livraison réappro]]),"",(IF(Tableau1[[#This Row],[date de livraison réappro]]&lt;Tableau1[[#This Row],[date de rupture estimé]],"OK","RUPTURE")))</f>
        <v/>
      </c>
      <c r="AE32" s="16"/>
      <c r="AG32" s="44"/>
      <c r="AK32" s="6" t="s">
        <v>102</v>
      </c>
      <c r="AM32" s="12">
        <f>Tableau1[[#This Row],[tot tarif ligne]]</f>
        <v>44</v>
      </c>
      <c r="AN32" s="12"/>
      <c r="AO32" s="12"/>
      <c r="AP32" s="12"/>
      <c r="AQ32" s="12"/>
      <c r="AR32" s="12"/>
      <c r="AS32" s="12"/>
    </row>
    <row r="33" spans="1:45" ht="30" hidden="1">
      <c r="A33" s="20" t="s">
        <v>183</v>
      </c>
      <c r="B33" t="s">
        <v>184</v>
      </c>
      <c r="C33" t="s">
        <v>60</v>
      </c>
      <c r="D33" s="32"/>
      <c r="E33" s="29">
        <v>1</v>
      </c>
      <c r="F33" s="32"/>
      <c r="G33" s="32"/>
      <c r="H33" s="1"/>
      <c r="I33" s="32"/>
      <c r="J33" s="1"/>
      <c r="K33" s="1"/>
      <c r="L33" s="1"/>
      <c r="M33" s="1"/>
      <c r="N33" s="1" t="s">
        <v>61</v>
      </c>
      <c r="O33" s="1"/>
      <c r="P33" s="1">
        <v>20</v>
      </c>
      <c r="Q33" s="14">
        <v>38</v>
      </c>
      <c r="R33" s="14">
        <f>(SUM(D33:G33,I33))*Q33</f>
        <v>38</v>
      </c>
      <c r="S33" s="1"/>
      <c r="T33">
        <f>+Tableau1[[#This Row],[DELAIS (w)]]*7</f>
        <v>0</v>
      </c>
      <c r="U33"/>
      <c r="W33">
        <f>(Tableau1[[#This Row],[DELAIS (w)]]+2)*(2*SUM(Tableau1[[#This Row],[086401 - Train mobile équipé pour DIPRO 3x]:[086885 - Ensemble Codeur - DIPRO 3x]]))</f>
        <v>4</v>
      </c>
      <c r="X33">
        <f>+Tableau1[[#This Row],[STOCK disponible]]/(SUM(Tableau1[[#This Row],[086401 - Train mobile équipé pour DIPRO 3x]:[086885 - Ensemble Codeur - DIPRO 3x]])*2.5)</f>
        <v>0</v>
      </c>
      <c r="Y33" s="9">
        <f ca="1">TODAY()+(Tableau1[[#This Row],[COUVERTURE W (capa 2,5M/S)]]*7)</f>
        <v>46219</v>
      </c>
      <c r="Z33" s="9"/>
      <c r="AD33" s="9" t="str">
        <f>IF(ISBLANK(Tableau1[[#This Row],[date de livraison réappro]]),"",(IF(Tableau1[[#This Row],[date de livraison réappro]]&lt;Tableau1[[#This Row],[date de rupture estimé]],"OK","RUPTURE")))</f>
        <v/>
      </c>
      <c r="AE33" s="16"/>
      <c r="AG33" s="44"/>
      <c r="AK33" s="6" t="s">
        <v>102</v>
      </c>
      <c r="AM33" s="12">
        <f>Tableau1[[#This Row],[tot tarif ligne]]</f>
        <v>38</v>
      </c>
      <c r="AN33" s="12"/>
      <c r="AO33" s="12"/>
      <c r="AP33" s="12"/>
      <c r="AQ33" s="12"/>
      <c r="AR33" s="12"/>
      <c r="AS33" s="12"/>
    </row>
    <row r="34" spans="1:45" hidden="1">
      <c r="A34" s="20" t="s">
        <v>185</v>
      </c>
      <c r="B34" s="1" t="s">
        <v>186</v>
      </c>
      <c r="C34" s="1" t="s">
        <v>187</v>
      </c>
      <c r="D34" s="32"/>
      <c r="E34" s="32"/>
      <c r="F34" s="32"/>
      <c r="G34" s="32">
        <v>1</v>
      </c>
      <c r="H34" s="1"/>
      <c r="I34" s="32"/>
      <c r="J34" s="1"/>
      <c r="K34" s="1"/>
      <c r="L34" s="1"/>
      <c r="M34" s="1" t="s">
        <v>188</v>
      </c>
      <c r="N34" s="1" t="s">
        <v>107</v>
      </c>
      <c r="O34" s="1"/>
      <c r="P34" s="1">
        <v>30</v>
      </c>
      <c r="Q34" s="14">
        <f>36.62+1.06</f>
        <v>37.68</v>
      </c>
      <c r="R34" s="14">
        <f>(SUM(D34:G34,I34))*Q34</f>
        <v>37.68</v>
      </c>
      <c r="S34" s="1">
        <v>9</v>
      </c>
      <c r="T34">
        <f>+Tableau1[[#This Row],[DELAIS (w)]]*7</f>
        <v>63</v>
      </c>
      <c r="U34">
        <v>12</v>
      </c>
      <c r="V34">
        <v>12</v>
      </c>
      <c r="W34">
        <f>(Tableau1[[#This Row],[DELAIS (w)]]+2)*(2.5*SUM(Tableau1[[#This Row],[086401 - Train mobile équipé pour DIPRO 3x]:[086885 - Ensemble Codeur - DIPRO 3x]]))</f>
        <v>27.5</v>
      </c>
      <c r="X34">
        <f>+Tableau1[[#This Row],[STOCK disponible]]/(SUM(Tableau1[[#This Row],[086401 - Train mobile équipé pour DIPRO 3x]:[086885 - Ensemble Codeur - DIPRO 3x]])*2.5)</f>
        <v>4.8</v>
      </c>
      <c r="Y34" s="9">
        <f ca="1">TODAY()+(Tableau1[[#This Row],[COUVERTURE W (capa 2,5M/S)]]*7)</f>
        <v>46252.6</v>
      </c>
      <c r="Z34" s="9" t="str">
        <f>IF(Tableau1[[#This Row],[STOCK disponible]]&lt;Tableau1[[#This Row],[SEUIL]],"A COMMANDER","")</f>
        <v>A COMMANDER</v>
      </c>
      <c r="AA34">
        <v>30</v>
      </c>
      <c r="AB34" t="s">
        <v>189</v>
      </c>
      <c r="AC34" s="9">
        <v>45432</v>
      </c>
      <c r="AD34" s="9" t="str">
        <f ca="1">IF(ISBLANK(Tableau1[[#This Row],[date de livraison réappro]]),"",(IF(Tableau1[[#This Row],[date de livraison réappro]]&lt;Tableau1[[#This Row],[date de rupture estimé]],"OK","RUPTURE")))</f>
        <v>OK</v>
      </c>
      <c r="AE34" s="17">
        <v>30</v>
      </c>
      <c r="AG34" s="44"/>
      <c r="AK34" s="6" t="s">
        <v>92</v>
      </c>
      <c r="AM34" s="12"/>
      <c r="AN34" s="12"/>
      <c r="AO34" s="12"/>
      <c r="AP34" s="12"/>
      <c r="AQ34" s="12"/>
      <c r="AR34" s="12"/>
      <c r="AS34" s="12"/>
    </row>
    <row r="35" spans="1:45" ht="30" hidden="1">
      <c r="A35" s="20" t="s">
        <v>190</v>
      </c>
      <c r="B35" t="s">
        <v>191</v>
      </c>
      <c r="C35" t="s">
        <v>60</v>
      </c>
      <c r="D35" s="32"/>
      <c r="E35" s="29">
        <v>1</v>
      </c>
      <c r="F35" s="32"/>
      <c r="G35" s="32"/>
      <c r="H35" s="1"/>
      <c r="I35" s="32"/>
      <c r="J35" s="1"/>
      <c r="K35" s="1"/>
      <c r="L35" s="1"/>
      <c r="M35" s="1"/>
      <c r="N35" s="1" t="s">
        <v>61</v>
      </c>
      <c r="O35" s="1"/>
      <c r="P35" s="1">
        <v>20</v>
      </c>
      <c r="Q35" s="14">
        <v>36</v>
      </c>
      <c r="R35" s="14">
        <f>(SUM(D35:G35,I35))*Q35</f>
        <v>36</v>
      </c>
      <c r="S35" s="1"/>
      <c r="T35">
        <f>+Tableau1[[#This Row],[DELAIS (w)]]*7</f>
        <v>0</v>
      </c>
      <c r="U35"/>
      <c r="W35">
        <f>(Tableau1[[#This Row],[DELAIS (w)]]+2)*(2*SUM(Tableau1[[#This Row],[086401 - Train mobile équipé pour DIPRO 3x]:[086885 - Ensemble Codeur - DIPRO 3x]]))</f>
        <v>4</v>
      </c>
      <c r="X35">
        <f>+Tableau1[[#This Row],[STOCK disponible]]/(SUM(Tableau1[[#This Row],[086401 - Train mobile équipé pour DIPRO 3x]:[086885 - Ensemble Codeur - DIPRO 3x]])*2.5)</f>
        <v>0</v>
      </c>
      <c r="Y35" s="9">
        <f ca="1">TODAY()+(Tableau1[[#This Row],[COUVERTURE W (capa 2,5M/S)]]*7)</f>
        <v>46219</v>
      </c>
      <c r="Z35" s="9"/>
      <c r="AD35" s="9" t="str">
        <f>IF(ISBLANK(Tableau1[[#This Row],[date de livraison réappro]]),"",(IF(Tableau1[[#This Row],[date de livraison réappro]]&lt;Tableau1[[#This Row],[date de rupture estimé]],"OK","RUPTURE")))</f>
        <v/>
      </c>
      <c r="AE35" s="16"/>
      <c r="AG35" s="44"/>
      <c r="AK35" s="6" t="s">
        <v>102</v>
      </c>
      <c r="AM35" s="12">
        <f>Tableau1[[#This Row],[tot tarif ligne]]</f>
        <v>36</v>
      </c>
      <c r="AN35" s="12"/>
      <c r="AO35" s="12"/>
      <c r="AP35" s="12"/>
      <c r="AQ35" s="12"/>
      <c r="AR35" s="12"/>
      <c r="AS35" s="12"/>
    </row>
    <row r="36" spans="1:45" ht="30" hidden="1">
      <c r="A36" s="20" t="s">
        <v>192</v>
      </c>
      <c r="B36" t="s">
        <v>193</v>
      </c>
      <c r="C36" t="s">
        <v>60</v>
      </c>
      <c r="D36" s="32"/>
      <c r="E36" s="29">
        <v>1</v>
      </c>
      <c r="F36" s="32"/>
      <c r="G36" s="32"/>
      <c r="H36" s="1"/>
      <c r="I36" s="32"/>
      <c r="J36" s="1"/>
      <c r="K36" s="1"/>
      <c r="L36" s="1"/>
      <c r="M36" s="1"/>
      <c r="N36" s="1" t="s">
        <v>61</v>
      </c>
      <c r="O36" s="1"/>
      <c r="P36" s="1">
        <v>20</v>
      </c>
      <c r="Q36" s="14">
        <v>36</v>
      </c>
      <c r="R36" s="14">
        <f>(SUM(D36:G36,I36))*Q36</f>
        <v>36</v>
      </c>
      <c r="S36" s="1"/>
      <c r="T36">
        <f>+Tableau1[[#This Row],[DELAIS (w)]]*7</f>
        <v>0</v>
      </c>
      <c r="U36"/>
      <c r="W36">
        <f>(Tableau1[[#This Row],[DELAIS (w)]]+2)*(2*SUM(Tableau1[[#This Row],[086401 - Train mobile équipé pour DIPRO 3x]:[086885 - Ensemble Codeur - DIPRO 3x]]))</f>
        <v>4</v>
      </c>
      <c r="X36">
        <f>+Tableau1[[#This Row],[STOCK disponible]]/(SUM(Tableau1[[#This Row],[086401 - Train mobile équipé pour DIPRO 3x]:[086885 - Ensemble Codeur - DIPRO 3x]])*2.5)</f>
        <v>0</v>
      </c>
      <c r="Y36" s="9">
        <f ca="1">TODAY()+(Tableau1[[#This Row],[COUVERTURE W (capa 2,5M/S)]]*7)</f>
        <v>46219</v>
      </c>
      <c r="Z36" s="9"/>
      <c r="AD36" s="9" t="str">
        <f>IF(ISBLANK(Tableau1[[#This Row],[date de livraison réappro]]),"",(IF(Tableau1[[#This Row],[date de livraison réappro]]&lt;Tableau1[[#This Row],[date de rupture estimé]],"OK","RUPTURE")))</f>
        <v/>
      </c>
      <c r="AE36" s="16"/>
      <c r="AG36" s="44"/>
      <c r="AK36" s="6" t="s">
        <v>102</v>
      </c>
      <c r="AM36" s="12">
        <f>Tableau1[[#This Row],[tot tarif ligne]]</f>
        <v>36</v>
      </c>
      <c r="AN36" s="12"/>
      <c r="AO36" s="12"/>
      <c r="AP36" s="12"/>
      <c r="AQ36" s="12"/>
      <c r="AR36" s="12"/>
      <c r="AS36" s="12"/>
    </row>
    <row r="37" spans="1:45" ht="30" hidden="1">
      <c r="A37" s="20" t="s">
        <v>194</v>
      </c>
      <c r="B37" t="s">
        <v>195</v>
      </c>
      <c r="C37" t="s">
        <v>60</v>
      </c>
      <c r="D37" s="32"/>
      <c r="E37" s="29">
        <v>1</v>
      </c>
      <c r="F37" s="32"/>
      <c r="G37" s="32"/>
      <c r="H37" s="1"/>
      <c r="I37" s="32"/>
      <c r="J37" s="1"/>
      <c r="K37" s="1"/>
      <c r="L37" s="1"/>
      <c r="M37" s="1"/>
      <c r="N37" s="1" t="s">
        <v>61</v>
      </c>
      <c r="O37" s="1"/>
      <c r="P37" s="1">
        <v>20</v>
      </c>
      <c r="Q37" s="14">
        <v>36</v>
      </c>
      <c r="R37" s="14">
        <f>(SUM(D37:G37,I37))*Q37</f>
        <v>36</v>
      </c>
      <c r="S37" s="1"/>
      <c r="T37">
        <f>+Tableau1[[#This Row],[DELAIS (w)]]*7</f>
        <v>0</v>
      </c>
      <c r="U37"/>
      <c r="W37">
        <f>(Tableau1[[#This Row],[DELAIS (w)]]+2)*(2*SUM(Tableau1[[#This Row],[086401 - Train mobile équipé pour DIPRO 3x]:[086885 - Ensemble Codeur - DIPRO 3x]]))</f>
        <v>4</v>
      </c>
      <c r="X37">
        <f>+Tableau1[[#This Row],[STOCK disponible]]/(SUM(Tableau1[[#This Row],[086401 - Train mobile équipé pour DIPRO 3x]:[086885 - Ensemble Codeur - DIPRO 3x]])*2.5)</f>
        <v>0</v>
      </c>
      <c r="Y37" s="9">
        <f ca="1">TODAY()+(Tableau1[[#This Row],[COUVERTURE W (capa 2,5M/S)]]*7)</f>
        <v>46219</v>
      </c>
      <c r="Z37" s="9"/>
      <c r="AD37" s="9" t="str">
        <f>IF(ISBLANK(Tableau1[[#This Row],[date de livraison réappro]]),"",(IF(Tableau1[[#This Row],[date de livraison réappro]]&lt;Tableau1[[#This Row],[date de rupture estimé]],"OK","RUPTURE")))</f>
        <v/>
      </c>
      <c r="AE37" s="16"/>
      <c r="AG37" s="44"/>
      <c r="AK37" s="6" t="s">
        <v>102</v>
      </c>
      <c r="AM37" s="12">
        <f>Tableau1[[#This Row],[tot tarif ligne]]</f>
        <v>36</v>
      </c>
      <c r="AN37" s="12"/>
      <c r="AO37" s="12"/>
      <c r="AP37" s="12"/>
      <c r="AQ37" s="12"/>
      <c r="AR37" s="12"/>
      <c r="AS37" s="12"/>
    </row>
    <row r="38" spans="1:45" ht="30" hidden="1">
      <c r="A38" s="20" t="s">
        <v>196</v>
      </c>
      <c r="B38" t="s">
        <v>197</v>
      </c>
      <c r="C38" t="s">
        <v>60</v>
      </c>
      <c r="D38" s="32"/>
      <c r="E38" s="29">
        <v>1</v>
      </c>
      <c r="F38" s="32"/>
      <c r="G38" s="32"/>
      <c r="H38" s="1"/>
      <c r="I38" s="32"/>
      <c r="J38" s="1"/>
      <c r="K38" s="1"/>
      <c r="L38" s="1"/>
      <c r="M38" s="1"/>
      <c r="N38" s="1" t="s">
        <v>61</v>
      </c>
      <c r="O38" s="1"/>
      <c r="P38" s="1">
        <v>20</v>
      </c>
      <c r="Q38" s="14">
        <v>35</v>
      </c>
      <c r="R38" s="14">
        <f>(SUM(D38:G38,I38))*Q38</f>
        <v>35</v>
      </c>
      <c r="S38" s="1"/>
      <c r="T38">
        <f>+Tableau1[[#This Row],[DELAIS (w)]]*7</f>
        <v>0</v>
      </c>
      <c r="U38"/>
      <c r="W38">
        <f>(Tableau1[[#This Row],[DELAIS (w)]]+2)*(2*SUM(Tableau1[[#This Row],[086401 - Train mobile équipé pour DIPRO 3x]:[086885 - Ensemble Codeur - DIPRO 3x]]))</f>
        <v>4</v>
      </c>
      <c r="X38">
        <f>+Tableau1[[#This Row],[STOCK disponible]]/(SUM(Tableau1[[#This Row],[086401 - Train mobile équipé pour DIPRO 3x]:[086885 - Ensemble Codeur - DIPRO 3x]])*2.5)</f>
        <v>0</v>
      </c>
      <c r="Y38" s="9">
        <f ca="1">TODAY()+(Tableau1[[#This Row],[COUVERTURE W (capa 2,5M/S)]]*7)</f>
        <v>46219</v>
      </c>
      <c r="Z38" s="9"/>
      <c r="AD38" s="9" t="str">
        <f>IF(ISBLANK(Tableau1[[#This Row],[date de livraison réappro]]),"",(IF(Tableau1[[#This Row],[date de livraison réappro]]&lt;Tableau1[[#This Row],[date de rupture estimé]],"OK","RUPTURE")))</f>
        <v/>
      </c>
      <c r="AE38" s="16"/>
      <c r="AG38" s="44"/>
      <c r="AK38" s="6" t="s">
        <v>102</v>
      </c>
      <c r="AM38" s="12">
        <f>Tableau1[[#This Row],[tot tarif ligne]]</f>
        <v>35</v>
      </c>
      <c r="AN38" s="12"/>
      <c r="AO38" s="12"/>
      <c r="AP38" s="12"/>
      <c r="AQ38" s="12"/>
      <c r="AR38" s="12"/>
      <c r="AS38" s="12"/>
    </row>
    <row r="39" spans="1:45">
      <c r="A39" s="20" t="s">
        <v>198</v>
      </c>
      <c r="B39" s="4" t="s">
        <v>199</v>
      </c>
      <c r="C39" t="s">
        <v>60</v>
      </c>
      <c r="D39" s="32">
        <v>1</v>
      </c>
      <c r="E39" s="32">
        <v>1</v>
      </c>
      <c r="F39" s="32"/>
      <c r="G39" s="32"/>
      <c r="H39" s="1"/>
      <c r="I39" s="32"/>
      <c r="J39" s="1"/>
      <c r="K39" s="1"/>
      <c r="L39" s="1"/>
      <c r="M39" s="1" t="s">
        <v>142</v>
      </c>
      <c r="N39" s="1" t="s">
        <v>67</v>
      </c>
      <c r="P39" s="1">
        <v>40</v>
      </c>
      <c r="Q39" s="14">
        <v>17.41</v>
      </c>
      <c r="R39" s="14">
        <f>(SUM(D39:G39,I39))*Q39</f>
        <v>34.82</v>
      </c>
      <c r="S39" s="1">
        <v>9</v>
      </c>
      <c r="T39">
        <f>+Tableau1[[#This Row],[DELAIS (w)]]*7</f>
        <v>63</v>
      </c>
      <c r="U39">
        <v>40</v>
      </c>
      <c r="V39">
        <v>40</v>
      </c>
      <c r="W39">
        <f>(Tableau1[[#This Row],[DELAIS (w)]]+2)*(2.5*SUM(Tableau1[[#This Row],[086401 - Train mobile équipé pour DIPRO 3x]:[086885 - Ensemble Codeur - DIPRO 3x]]))</f>
        <v>55</v>
      </c>
      <c r="X39">
        <f>+Tableau1[[#This Row],[STOCK disponible]]/(SUM(Tableau1[[#This Row],[086401 - Train mobile équipé pour DIPRO 3x]:[086885 - Ensemble Codeur - DIPRO 3x]])*2.5)</f>
        <v>8</v>
      </c>
      <c r="Y39" s="9">
        <f ca="1">TODAY()+(Tableau1[[#This Row],[COUVERTURE W (capa 2,5M/S)]]*7)</f>
        <v>46275</v>
      </c>
      <c r="Z39" s="9" t="str">
        <f>IF(Tableau1[[#This Row],[STOCK disponible]]&lt;Tableau1[[#This Row],[SEUIL]],"A COMMANDER","")</f>
        <v>A COMMANDER</v>
      </c>
      <c r="AD39" s="9" t="str">
        <f>IF(ISBLANK(Tableau1[[#This Row],[date de livraison réappro]]),"",(IF(Tableau1[[#This Row],[date de livraison réappro]]&lt;Tableau1[[#This Row],[date de rupture estimé]],"OK","RUPTURE")))</f>
        <v/>
      </c>
      <c r="AE39" s="17">
        <v>20</v>
      </c>
      <c r="AG39" s="44"/>
      <c r="AK39" s="6" t="s">
        <v>200</v>
      </c>
      <c r="AM39" s="12"/>
      <c r="AN39" s="12">
        <f>Tableau1[[#This Row],[tot tarif ligne]]</f>
        <v>34.82</v>
      </c>
      <c r="AO39" s="12"/>
      <c r="AP39" s="12"/>
      <c r="AQ39" s="12"/>
      <c r="AR39" s="12"/>
      <c r="AS39" s="12"/>
    </row>
    <row r="40" spans="1:45" hidden="1">
      <c r="A40" s="20" t="s">
        <v>201</v>
      </c>
      <c r="B40" s="4" t="s">
        <v>202</v>
      </c>
      <c r="C40" s="4" t="s">
        <v>178</v>
      </c>
      <c r="D40" s="32">
        <v>1</v>
      </c>
      <c r="E40" s="32"/>
      <c r="F40" s="32"/>
      <c r="G40" s="32"/>
      <c r="H40" s="1"/>
      <c r="I40" s="32"/>
      <c r="J40" s="1"/>
      <c r="K40" s="1"/>
      <c r="L40" s="1"/>
      <c r="M40" s="1" t="s">
        <v>66</v>
      </c>
      <c r="N40" s="1" t="s">
        <v>179</v>
      </c>
      <c r="O40" s="1"/>
      <c r="P40" s="1">
        <v>20</v>
      </c>
      <c r="Q40" s="14">
        <v>34.700000000000003</v>
      </c>
      <c r="R40" s="14">
        <f>(SUM(D40:G40,I40))*Q40</f>
        <v>34.700000000000003</v>
      </c>
      <c r="S40" s="1">
        <v>5</v>
      </c>
      <c r="T40">
        <f>+Tableau1[[#This Row],[DELAIS (w)]]*7</f>
        <v>35</v>
      </c>
      <c r="U40">
        <v>21</v>
      </c>
      <c r="V40">
        <v>21</v>
      </c>
      <c r="W40">
        <f>(Tableau1[[#This Row],[DELAIS (w)]]+2)*(2.5*SUM(Tableau1[[#This Row],[086401 - Train mobile équipé pour DIPRO 3x]:[086885 - Ensemble Codeur - DIPRO 3x]]))</f>
        <v>17.5</v>
      </c>
      <c r="X40">
        <f>+Tableau1[[#This Row],[STOCK disponible]]/(SUM(Tableau1[[#This Row],[086401 - Train mobile équipé pour DIPRO 3x]:[086885 - Ensemble Codeur - DIPRO 3x]])*2.5)</f>
        <v>8.4</v>
      </c>
      <c r="Y40" s="9">
        <f ca="1">TODAY()+(Tableau1[[#This Row],[COUVERTURE W (capa 2,5M/S)]]*7)</f>
        <v>46277.8</v>
      </c>
      <c r="Z40" s="9" t="str">
        <f>IF(Tableau1[[#This Row],[STOCK disponible]]&lt;Tableau1[[#This Row],[SEUIL]],"A COMMANDER","")</f>
        <v/>
      </c>
      <c r="AD40" s="9" t="str">
        <f>IF(ISBLANK(Tableau1[[#This Row],[date de livraison réappro]]),"",(IF(Tableau1[[#This Row],[date de livraison réappro]]&lt;Tableau1[[#This Row],[date de rupture estimé]],"OK","RUPTURE")))</f>
        <v/>
      </c>
      <c r="AE40" s="17">
        <v>0</v>
      </c>
      <c r="AG40" s="44"/>
      <c r="AK40" s="6" t="s">
        <v>92</v>
      </c>
      <c r="AM40" s="12"/>
      <c r="AN40" s="12">
        <f>Tableau1[[#This Row],[tot tarif ligne]]</f>
        <v>34.700000000000003</v>
      </c>
      <c r="AO40" s="12"/>
      <c r="AP40" s="12"/>
      <c r="AQ40" s="12"/>
      <c r="AR40" s="12"/>
      <c r="AS40" s="12"/>
    </row>
    <row r="41" spans="1:45" ht="30" hidden="1">
      <c r="A41" s="20" t="s">
        <v>203</v>
      </c>
      <c r="B41" t="s">
        <v>204</v>
      </c>
      <c r="C41" t="s">
        <v>60</v>
      </c>
      <c r="D41" s="32"/>
      <c r="E41" s="29">
        <v>1</v>
      </c>
      <c r="F41" s="32"/>
      <c r="G41" s="32"/>
      <c r="H41" s="1"/>
      <c r="I41" s="32"/>
      <c r="J41" s="1"/>
      <c r="K41" s="1"/>
      <c r="L41" s="1"/>
      <c r="M41" s="1"/>
      <c r="N41" s="1" t="s">
        <v>61</v>
      </c>
      <c r="O41" s="1"/>
      <c r="P41" s="1">
        <v>20</v>
      </c>
      <c r="Q41" s="14">
        <v>34</v>
      </c>
      <c r="R41" s="14">
        <f>(SUM(D41:G41,I41))*Q41</f>
        <v>34</v>
      </c>
      <c r="S41" s="1"/>
      <c r="T41">
        <f>+Tableau1[[#This Row],[DELAIS (w)]]*7</f>
        <v>0</v>
      </c>
      <c r="U41"/>
      <c r="W41">
        <f>(Tableau1[[#This Row],[DELAIS (w)]]+2)*(2*SUM(Tableau1[[#This Row],[086401 - Train mobile équipé pour DIPRO 3x]:[086885 - Ensemble Codeur - DIPRO 3x]]))</f>
        <v>4</v>
      </c>
      <c r="X41">
        <f>+Tableau1[[#This Row],[STOCK disponible]]/(SUM(Tableau1[[#This Row],[086401 - Train mobile équipé pour DIPRO 3x]:[086885 - Ensemble Codeur - DIPRO 3x]])*2.5)</f>
        <v>0</v>
      </c>
      <c r="Y41" s="9">
        <f ca="1">TODAY()+(Tableau1[[#This Row],[COUVERTURE W (capa 2,5M/S)]]*7)</f>
        <v>46219</v>
      </c>
      <c r="Z41" s="9"/>
      <c r="AD41" s="9" t="str">
        <f>IF(ISBLANK(Tableau1[[#This Row],[date de livraison réappro]]),"",(IF(Tableau1[[#This Row],[date de livraison réappro]]&lt;Tableau1[[#This Row],[date de rupture estimé]],"OK","RUPTURE")))</f>
        <v/>
      </c>
      <c r="AE41" s="16"/>
      <c r="AG41" s="44"/>
      <c r="AK41" s="6" t="s">
        <v>102</v>
      </c>
      <c r="AM41" s="12">
        <f>Tableau1[[#This Row],[tot tarif ligne]]</f>
        <v>34</v>
      </c>
      <c r="AN41" s="12"/>
      <c r="AO41" s="12"/>
      <c r="AP41" s="12"/>
      <c r="AQ41" s="12"/>
      <c r="AR41" s="12"/>
      <c r="AS41" s="12"/>
    </row>
    <row r="42" spans="1:45" ht="30" hidden="1">
      <c r="A42" s="20" t="s">
        <v>205</v>
      </c>
      <c r="B42" t="s">
        <v>206</v>
      </c>
      <c r="C42" t="s">
        <v>60</v>
      </c>
      <c r="D42" s="32"/>
      <c r="E42" s="29">
        <v>1</v>
      </c>
      <c r="F42" s="32"/>
      <c r="G42" s="32"/>
      <c r="H42" s="1"/>
      <c r="I42" s="32"/>
      <c r="J42" s="1"/>
      <c r="K42" s="1"/>
      <c r="L42" s="1"/>
      <c r="M42" s="1"/>
      <c r="N42" s="1" t="s">
        <v>61</v>
      </c>
      <c r="O42" s="1"/>
      <c r="P42" s="1">
        <v>20</v>
      </c>
      <c r="Q42" s="14">
        <v>34</v>
      </c>
      <c r="R42" s="14">
        <f>(SUM(D42:G42,I42))*Q42</f>
        <v>34</v>
      </c>
      <c r="S42" s="1"/>
      <c r="T42">
        <f>+Tableau1[[#This Row],[DELAIS (w)]]*7</f>
        <v>0</v>
      </c>
      <c r="U42"/>
      <c r="W42">
        <f>(Tableau1[[#This Row],[DELAIS (w)]]+2)*(2*SUM(Tableau1[[#This Row],[086401 - Train mobile équipé pour DIPRO 3x]:[086885 - Ensemble Codeur - DIPRO 3x]]))</f>
        <v>4</v>
      </c>
      <c r="X42">
        <f>+Tableau1[[#This Row],[STOCK disponible]]/(SUM(Tableau1[[#This Row],[086401 - Train mobile équipé pour DIPRO 3x]:[086885 - Ensemble Codeur - DIPRO 3x]])*2.5)</f>
        <v>0</v>
      </c>
      <c r="Y42" s="9">
        <f ca="1">TODAY()+(Tableau1[[#This Row],[COUVERTURE W (capa 2,5M/S)]]*7)</f>
        <v>46219</v>
      </c>
      <c r="Z42" s="9"/>
      <c r="AD42" s="9" t="str">
        <f>IF(ISBLANK(Tableau1[[#This Row],[date de livraison réappro]]),"",(IF(Tableau1[[#This Row],[date de livraison réappro]]&lt;Tableau1[[#This Row],[date de rupture estimé]],"OK","RUPTURE")))</f>
        <v/>
      </c>
      <c r="AE42" s="16"/>
      <c r="AG42" s="44"/>
      <c r="AK42" s="6" t="s">
        <v>102</v>
      </c>
      <c r="AM42" s="12">
        <f>Tableau1[[#This Row],[tot tarif ligne]]</f>
        <v>34</v>
      </c>
      <c r="AN42" s="12"/>
      <c r="AO42" s="12"/>
      <c r="AP42" s="12"/>
      <c r="AQ42" s="12"/>
      <c r="AR42" s="12"/>
      <c r="AS42" s="12"/>
    </row>
    <row r="43" spans="1:45" ht="30" hidden="1">
      <c r="A43" s="20" t="s">
        <v>207</v>
      </c>
      <c r="B43" t="s">
        <v>208</v>
      </c>
      <c r="C43" t="s">
        <v>60</v>
      </c>
      <c r="D43" s="29">
        <v>1</v>
      </c>
      <c r="E43" s="32"/>
      <c r="F43" s="32"/>
      <c r="G43" s="32"/>
      <c r="H43" s="1"/>
      <c r="I43" s="32"/>
      <c r="J43" s="1"/>
      <c r="K43" s="1"/>
      <c r="L43" s="1"/>
      <c r="M43" s="1"/>
      <c r="N43" s="1" t="s">
        <v>61</v>
      </c>
      <c r="O43" s="1"/>
      <c r="P43" s="1">
        <v>20</v>
      </c>
      <c r="Q43" s="14">
        <v>34</v>
      </c>
      <c r="R43" s="14">
        <f>(SUM(D43:G43,I43))*Q43</f>
        <v>34</v>
      </c>
      <c r="S43" s="1"/>
      <c r="T43">
        <f>+Tableau1[[#This Row],[DELAIS (w)]]*7</f>
        <v>0</v>
      </c>
      <c r="U43"/>
      <c r="W43">
        <f>(Tableau1[[#This Row],[DELAIS (w)]]+2)*(2*SUM(Tableau1[[#This Row],[086401 - Train mobile équipé pour DIPRO 3x]:[086885 - Ensemble Codeur - DIPRO 3x]]))</f>
        <v>4</v>
      </c>
      <c r="X43">
        <f>+Tableau1[[#This Row],[STOCK disponible]]/(SUM(Tableau1[[#This Row],[086401 - Train mobile équipé pour DIPRO 3x]:[086885 - Ensemble Codeur - DIPRO 3x]])*2.5)</f>
        <v>0</v>
      </c>
      <c r="Y43" s="9">
        <f ca="1">TODAY()+(Tableau1[[#This Row],[COUVERTURE W (capa 2,5M/S)]]*7)</f>
        <v>46219</v>
      </c>
      <c r="Z43" s="9"/>
      <c r="AD43" s="9" t="str">
        <f>IF(ISBLANK(Tableau1[[#This Row],[date de livraison réappro]]),"",(IF(Tableau1[[#This Row],[date de livraison réappro]]&lt;Tableau1[[#This Row],[date de rupture estimé]],"OK","RUPTURE")))</f>
        <v/>
      </c>
      <c r="AE43" s="16"/>
      <c r="AG43" s="44"/>
      <c r="AK43" s="6" t="s">
        <v>102</v>
      </c>
      <c r="AM43" s="12">
        <f>Tableau1[[#This Row],[tot tarif ligne]]</f>
        <v>34</v>
      </c>
      <c r="AN43" s="12"/>
      <c r="AO43" s="12"/>
      <c r="AP43" s="12"/>
      <c r="AQ43" s="12"/>
      <c r="AR43" s="12"/>
      <c r="AS43" s="12"/>
    </row>
    <row r="44" spans="1:45" ht="30" hidden="1">
      <c r="A44" s="20" t="s">
        <v>209</v>
      </c>
      <c r="B44" t="s">
        <v>210</v>
      </c>
      <c r="C44" t="s">
        <v>60</v>
      </c>
      <c r="D44" s="32"/>
      <c r="E44" s="29">
        <v>1</v>
      </c>
      <c r="F44" s="32"/>
      <c r="G44" s="32"/>
      <c r="H44" s="1"/>
      <c r="I44" s="32"/>
      <c r="J44" s="1"/>
      <c r="K44" s="1"/>
      <c r="L44" s="1"/>
      <c r="M44" s="1"/>
      <c r="N44" s="1" t="s">
        <v>61</v>
      </c>
      <c r="O44" s="1"/>
      <c r="P44" s="1">
        <v>20</v>
      </c>
      <c r="Q44" s="14">
        <v>33.5</v>
      </c>
      <c r="R44" s="14">
        <f>(SUM(D44:G44,I44))*Q44</f>
        <v>33.5</v>
      </c>
      <c r="S44" s="1"/>
      <c r="T44">
        <f>+Tableau1[[#This Row],[DELAIS (w)]]*7</f>
        <v>0</v>
      </c>
      <c r="U44"/>
      <c r="W44">
        <f>(Tableau1[[#This Row],[DELAIS (w)]]+2)*(2*SUM(Tableau1[[#This Row],[086401 - Train mobile équipé pour DIPRO 3x]:[086885 - Ensemble Codeur - DIPRO 3x]]))</f>
        <v>4</v>
      </c>
      <c r="X44">
        <f>+Tableau1[[#This Row],[STOCK disponible]]/(SUM(Tableau1[[#This Row],[086401 - Train mobile équipé pour DIPRO 3x]:[086885 - Ensemble Codeur - DIPRO 3x]])*2.5)</f>
        <v>0</v>
      </c>
      <c r="Y44" s="9">
        <f ca="1">TODAY()+(Tableau1[[#This Row],[COUVERTURE W (capa 2,5M/S)]]*7)</f>
        <v>46219</v>
      </c>
      <c r="Z44" s="9"/>
      <c r="AD44" s="9" t="str">
        <f>IF(ISBLANK(Tableau1[[#This Row],[date de livraison réappro]]),"",(IF(Tableau1[[#This Row],[date de livraison réappro]]&lt;Tableau1[[#This Row],[date de rupture estimé]],"OK","RUPTURE")))</f>
        <v/>
      </c>
      <c r="AE44" s="16"/>
      <c r="AG44" s="44"/>
      <c r="AK44" s="6" t="s">
        <v>102</v>
      </c>
      <c r="AM44" s="12">
        <f>Tableau1[[#This Row],[tot tarif ligne]]</f>
        <v>33.5</v>
      </c>
      <c r="AN44" s="12"/>
      <c r="AO44" s="12"/>
      <c r="AP44" s="12"/>
      <c r="AQ44" s="12"/>
      <c r="AR44" s="12"/>
      <c r="AS44" s="12"/>
    </row>
    <row r="45" spans="1:45" ht="30" hidden="1">
      <c r="A45" s="20" t="s">
        <v>211</v>
      </c>
      <c r="B45" t="s">
        <v>212</v>
      </c>
      <c r="C45" t="s">
        <v>60</v>
      </c>
      <c r="D45" s="32"/>
      <c r="E45" s="29">
        <v>1</v>
      </c>
      <c r="F45" s="32"/>
      <c r="G45" s="32"/>
      <c r="H45" s="1"/>
      <c r="I45" s="32"/>
      <c r="J45" s="1"/>
      <c r="K45" s="1"/>
      <c r="L45" s="1"/>
      <c r="M45" s="1"/>
      <c r="N45" s="1" t="s">
        <v>61</v>
      </c>
      <c r="O45" s="1"/>
      <c r="P45" s="1">
        <v>20</v>
      </c>
      <c r="Q45" s="14">
        <v>33</v>
      </c>
      <c r="R45" s="14">
        <f>(SUM(D45:G45,I45))*Q45</f>
        <v>33</v>
      </c>
      <c r="S45" s="1"/>
      <c r="T45">
        <f>+Tableau1[[#This Row],[DELAIS (w)]]*7</f>
        <v>0</v>
      </c>
      <c r="U45"/>
      <c r="W45">
        <f>(Tableau1[[#This Row],[DELAIS (w)]]+2)*(2*SUM(Tableau1[[#This Row],[086401 - Train mobile équipé pour DIPRO 3x]:[086885 - Ensemble Codeur - DIPRO 3x]]))</f>
        <v>4</v>
      </c>
      <c r="X45">
        <f>+Tableau1[[#This Row],[STOCK disponible]]/(SUM(Tableau1[[#This Row],[086401 - Train mobile équipé pour DIPRO 3x]:[086885 - Ensemble Codeur - DIPRO 3x]])*2.5)</f>
        <v>0</v>
      </c>
      <c r="Y45" s="9">
        <f ca="1">TODAY()+(Tableau1[[#This Row],[COUVERTURE W (capa 2,5M/S)]]*7)</f>
        <v>46219</v>
      </c>
      <c r="Z45" s="9"/>
      <c r="AD45" s="9" t="str">
        <f>IF(ISBLANK(Tableau1[[#This Row],[date de livraison réappro]]),"",(IF(Tableau1[[#This Row],[date de livraison réappro]]&lt;Tableau1[[#This Row],[date de rupture estimé]],"OK","RUPTURE")))</f>
        <v/>
      </c>
      <c r="AE45" s="16"/>
      <c r="AG45" s="44"/>
      <c r="AK45" s="6" t="s">
        <v>102</v>
      </c>
      <c r="AM45" s="12">
        <f>Tableau1[[#This Row],[tot tarif ligne]]</f>
        <v>33</v>
      </c>
      <c r="AN45" s="12"/>
      <c r="AO45" s="12"/>
      <c r="AP45" s="12"/>
      <c r="AQ45" s="12"/>
      <c r="AR45" s="12"/>
      <c r="AS45" s="12"/>
    </row>
    <row r="46" spans="1:45" ht="30" hidden="1">
      <c r="A46" s="20" t="s">
        <v>213</v>
      </c>
      <c r="B46" t="s">
        <v>214</v>
      </c>
      <c r="C46" t="s">
        <v>60</v>
      </c>
      <c r="D46" s="29">
        <v>2</v>
      </c>
      <c r="E46" s="32"/>
      <c r="F46" s="32"/>
      <c r="G46" s="32"/>
      <c r="H46" s="1"/>
      <c r="I46" s="32"/>
      <c r="J46" s="1"/>
      <c r="K46" s="1"/>
      <c r="L46" s="1"/>
      <c r="M46" s="1"/>
      <c r="N46" s="1" t="s">
        <v>61</v>
      </c>
      <c r="O46" s="1"/>
      <c r="P46" s="1">
        <v>40</v>
      </c>
      <c r="Q46" s="14">
        <v>16.100000000000001</v>
      </c>
      <c r="R46" s="14">
        <f>(SUM(D46:G46,I46))*Q46</f>
        <v>32.200000000000003</v>
      </c>
      <c r="S46" s="1"/>
      <c r="T46">
        <f>+Tableau1[[#This Row],[DELAIS (w)]]*7</f>
        <v>0</v>
      </c>
      <c r="U46"/>
      <c r="W46">
        <f>(Tableau1[[#This Row],[DELAIS (w)]]+2)*(2*SUM(Tableau1[[#This Row],[086401 - Train mobile équipé pour DIPRO 3x]:[086885 - Ensemble Codeur - DIPRO 3x]]))</f>
        <v>8</v>
      </c>
      <c r="X46">
        <f>+Tableau1[[#This Row],[STOCK disponible]]/(SUM(Tableau1[[#This Row],[086401 - Train mobile équipé pour DIPRO 3x]:[086885 - Ensemble Codeur - DIPRO 3x]])*2.5)</f>
        <v>0</v>
      </c>
      <c r="Y46" s="9">
        <f ca="1">TODAY()+(Tableau1[[#This Row],[COUVERTURE W (capa 2,5M/S)]]*7)</f>
        <v>46219</v>
      </c>
      <c r="Z46" s="9"/>
      <c r="AD46" s="9" t="str">
        <f>IF(ISBLANK(Tableau1[[#This Row],[date de livraison réappro]]),"",(IF(Tableau1[[#This Row],[date de livraison réappro]]&lt;Tableau1[[#This Row],[date de rupture estimé]],"OK","RUPTURE")))</f>
        <v/>
      </c>
      <c r="AE46" s="16"/>
      <c r="AG46" s="44"/>
      <c r="AK46" s="6" t="s">
        <v>102</v>
      </c>
      <c r="AM46" s="12"/>
      <c r="AN46" s="12"/>
      <c r="AO46" s="12"/>
      <c r="AP46" s="12">
        <f>Tableau1[[#This Row],[tot tarif ligne]]</f>
        <v>32.200000000000003</v>
      </c>
      <c r="AQ46" s="12"/>
      <c r="AR46" s="12"/>
      <c r="AS46" s="12"/>
    </row>
    <row r="47" spans="1:45" ht="30" hidden="1">
      <c r="A47" s="20" t="s">
        <v>215</v>
      </c>
      <c r="B47" t="s">
        <v>216</v>
      </c>
      <c r="C47" t="s">
        <v>60</v>
      </c>
      <c r="D47" s="29">
        <v>1</v>
      </c>
      <c r="E47" s="32"/>
      <c r="F47" s="32"/>
      <c r="G47" s="32"/>
      <c r="H47" s="1"/>
      <c r="I47" s="32"/>
      <c r="J47" s="1"/>
      <c r="K47" s="1"/>
      <c r="L47" s="1"/>
      <c r="M47" s="1"/>
      <c r="N47" s="1" t="s">
        <v>61</v>
      </c>
      <c r="O47" s="1"/>
      <c r="P47" s="1">
        <v>20</v>
      </c>
      <c r="Q47" s="14">
        <v>31.5</v>
      </c>
      <c r="R47" s="14">
        <f>(SUM(D47:G47,I47))*Q47</f>
        <v>31.5</v>
      </c>
      <c r="S47" s="1"/>
      <c r="T47">
        <f>+Tableau1[[#This Row],[DELAIS (w)]]*7</f>
        <v>0</v>
      </c>
      <c r="U47"/>
      <c r="W47">
        <f>(Tableau1[[#This Row],[DELAIS (w)]]+2)*(2*SUM(Tableau1[[#This Row],[086401 - Train mobile équipé pour DIPRO 3x]:[086885 - Ensemble Codeur - DIPRO 3x]]))</f>
        <v>4</v>
      </c>
      <c r="X47">
        <f>+Tableau1[[#This Row],[STOCK disponible]]/(SUM(Tableau1[[#This Row],[086401 - Train mobile équipé pour DIPRO 3x]:[086885 - Ensemble Codeur - DIPRO 3x]])*2.5)</f>
        <v>0</v>
      </c>
      <c r="Y47" s="9">
        <f ca="1">TODAY()+(Tableau1[[#This Row],[COUVERTURE W (capa 2,5M/S)]]*7)</f>
        <v>46219</v>
      </c>
      <c r="Z47" s="9"/>
      <c r="AD47" s="9" t="str">
        <f>IF(ISBLANK(Tableau1[[#This Row],[date de livraison réappro]]),"",(IF(Tableau1[[#This Row],[date de livraison réappro]]&lt;Tableau1[[#This Row],[date de rupture estimé]],"OK","RUPTURE")))</f>
        <v/>
      </c>
      <c r="AE47" s="16"/>
      <c r="AG47" s="44"/>
      <c r="AK47" s="6" t="s">
        <v>102</v>
      </c>
      <c r="AM47" s="12">
        <f>Tableau1[[#This Row],[tot tarif ligne]]</f>
        <v>31.5</v>
      </c>
      <c r="AN47" s="12"/>
      <c r="AO47" s="12"/>
      <c r="AP47" s="12"/>
      <c r="AQ47" s="12"/>
      <c r="AR47" s="12"/>
      <c r="AS47" s="12"/>
    </row>
    <row r="48" spans="1:45" ht="30" hidden="1">
      <c r="A48" s="20" t="s">
        <v>217</v>
      </c>
      <c r="B48" t="s">
        <v>218</v>
      </c>
      <c r="C48" t="s">
        <v>60</v>
      </c>
      <c r="D48" s="32"/>
      <c r="E48" s="29">
        <v>1</v>
      </c>
      <c r="F48" s="32"/>
      <c r="G48" s="32"/>
      <c r="H48" s="1"/>
      <c r="I48" s="32"/>
      <c r="J48" s="1"/>
      <c r="K48" s="1"/>
      <c r="L48" s="1"/>
      <c r="M48" s="1"/>
      <c r="N48" s="1" t="s">
        <v>61</v>
      </c>
      <c r="O48" s="1"/>
      <c r="P48" s="1">
        <v>20</v>
      </c>
      <c r="Q48" s="14">
        <v>31</v>
      </c>
      <c r="R48" s="14">
        <f>(SUM(D48:G48,I48))*Q48</f>
        <v>31</v>
      </c>
      <c r="S48" s="1"/>
      <c r="T48">
        <f>+Tableau1[[#This Row],[DELAIS (w)]]*7</f>
        <v>0</v>
      </c>
      <c r="U48"/>
      <c r="W48">
        <f>(Tableau1[[#This Row],[DELAIS (w)]]+2)*(2*SUM(Tableau1[[#This Row],[086401 - Train mobile équipé pour DIPRO 3x]:[086885 - Ensemble Codeur - DIPRO 3x]]))</f>
        <v>4</v>
      </c>
      <c r="X48">
        <f>+Tableau1[[#This Row],[STOCK disponible]]/(SUM(Tableau1[[#This Row],[086401 - Train mobile équipé pour DIPRO 3x]:[086885 - Ensemble Codeur - DIPRO 3x]])*2.5)</f>
        <v>0</v>
      </c>
      <c r="Y48" s="9">
        <f ca="1">TODAY()+(Tableau1[[#This Row],[COUVERTURE W (capa 2,5M/S)]]*7)</f>
        <v>46219</v>
      </c>
      <c r="Z48" s="9"/>
      <c r="AD48" s="9" t="str">
        <f>IF(ISBLANK(Tableau1[[#This Row],[date de livraison réappro]]),"",(IF(Tableau1[[#This Row],[date de livraison réappro]]&lt;Tableau1[[#This Row],[date de rupture estimé]],"OK","RUPTURE")))</f>
        <v/>
      </c>
      <c r="AE48" s="16"/>
      <c r="AG48" s="44"/>
      <c r="AK48" s="6" t="s">
        <v>102</v>
      </c>
      <c r="AM48" s="12">
        <f>Tableau1[[#This Row],[tot tarif ligne]]</f>
        <v>31</v>
      </c>
      <c r="AN48" s="12"/>
      <c r="AO48" s="12"/>
      <c r="AP48" s="12"/>
      <c r="AQ48" s="12"/>
      <c r="AR48" s="12"/>
      <c r="AS48" s="12"/>
    </row>
    <row r="49" spans="1:45" ht="30" hidden="1">
      <c r="A49" s="20" t="s">
        <v>219</v>
      </c>
      <c r="B49" s="1" t="s">
        <v>220</v>
      </c>
      <c r="C49" t="s">
        <v>60</v>
      </c>
      <c r="D49" s="32">
        <v>2</v>
      </c>
      <c r="E49" s="32">
        <v>2</v>
      </c>
      <c r="F49" s="32"/>
      <c r="G49" s="32"/>
      <c r="H49" s="1"/>
      <c r="I49" s="32"/>
      <c r="J49" s="1"/>
      <c r="K49" s="1"/>
      <c r="L49" s="1"/>
      <c r="M49" s="1" t="s">
        <v>142</v>
      </c>
      <c r="N49" s="1" t="s">
        <v>167</v>
      </c>
      <c r="O49" s="1"/>
      <c r="P49" s="1">
        <v>80</v>
      </c>
      <c r="Q49" s="14">
        <v>7.66</v>
      </c>
      <c r="R49" s="14">
        <f>(SUM(D49:G49,I49))*Q49</f>
        <v>30.64</v>
      </c>
      <c r="S49" s="1">
        <v>4</v>
      </c>
      <c r="T49">
        <f>+Tableau1[[#This Row],[DELAIS (w)]]*7</f>
        <v>28</v>
      </c>
      <c r="U49">
        <v>84</v>
      </c>
      <c r="V49">
        <v>84</v>
      </c>
      <c r="W49">
        <f>(Tableau1[[#This Row],[DELAIS (w)]]+2)*(2.5*SUM(Tableau1[[#This Row],[086401 - Train mobile équipé pour DIPRO 3x]:[086885 - Ensemble Codeur - DIPRO 3x]]))</f>
        <v>60</v>
      </c>
      <c r="X49">
        <f>+Tableau1[[#This Row],[STOCK disponible]]/(SUM(Tableau1[[#This Row],[086401 - Train mobile équipé pour DIPRO 3x]:[086885 - Ensemble Codeur - DIPRO 3x]])*2.5)</f>
        <v>8.4</v>
      </c>
      <c r="Y49" s="9">
        <f ca="1">TODAY()+(Tableau1[[#This Row],[COUVERTURE W (capa 2,5M/S)]]*7)</f>
        <v>46277.8</v>
      </c>
      <c r="Z49" s="9" t="str">
        <f>IF(Tableau1[[#This Row],[STOCK disponible]]&lt;Tableau1[[#This Row],[SEUIL]],"A COMMANDER","")</f>
        <v/>
      </c>
      <c r="AD49" s="9" t="str">
        <f>IF(ISBLANK(Tableau1[[#This Row],[date de livraison réappro]]),"",(IF(Tableau1[[#This Row],[date de livraison réappro]]&lt;Tableau1[[#This Row],[date de rupture estimé]],"OK","RUPTURE")))</f>
        <v/>
      </c>
      <c r="AE49" s="16"/>
      <c r="AG49" s="44"/>
      <c r="AK49" s="6" t="s">
        <v>102</v>
      </c>
      <c r="AM49" s="12"/>
      <c r="AN49" s="12"/>
      <c r="AO49" s="12"/>
      <c r="AP49" s="12"/>
      <c r="AQ49" s="12"/>
      <c r="AR49" s="12"/>
      <c r="AS49" s="12">
        <f>Tableau1[[#This Row],[tot tarif ligne]]</f>
        <v>30.64</v>
      </c>
    </row>
    <row r="50" spans="1:45" ht="30" hidden="1">
      <c r="A50" s="20" t="s">
        <v>221</v>
      </c>
      <c r="B50" t="s">
        <v>222</v>
      </c>
      <c r="C50" t="s">
        <v>60</v>
      </c>
      <c r="D50" s="29">
        <v>1</v>
      </c>
      <c r="E50" s="32"/>
      <c r="F50" s="32"/>
      <c r="G50" s="32"/>
      <c r="H50" s="1"/>
      <c r="I50" s="32"/>
      <c r="J50" s="1"/>
      <c r="K50" s="1"/>
      <c r="L50" s="1"/>
      <c r="M50" s="1"/>
      <c r="N50" s="1" t="s">
        <v>61</v>
      </c>
      <c r="O50" s="1"/>
      <c r="P50" s="1">
        <v>20</v>
      </c>
      <c r="Q50" s="14">
        <v>30.5</v>
      </c>
      <c r="R50" s="14">
        <f>(SUM(D50:G50,I50))*Q50</f>
        <v>30.5</v>
      </c>
      <c r="S50" s="1"/>
      <c r="T50">
        <f>+Tableau1[[#This Row],[DELAIS (w)]]*7</f>
        <v>0</v>
      </c>
      <c r="U50"/>
      <c r="W50">
        <f>(Tableau1[[#This Row],[DELAIS (w)]]+2)*(2*SUM(Tableau1[[#This Row],[086401 - Train mobile équipé pour DIPRO 3x]:[086885 - Ensemble Codeur - DIPRO 3x]]))</f>
        <v>4</v>
      </c>
      <c r="X50">
        <f>+Tableau1[[#This Row],[STOCK disponible]]/(SUM(Tableau1[[#This Row],[086401 - Train mobile équipé pour DIPRO 3x]:[086885 - Ensemble Codeur - DIPRO 3x]])*2.5)</f>
        <v>0</v>
      </c>
      <c r="Y50" s="9">
        <f ca="1">TODAY()+(Tableau1[[#This Row],[COUVERTURE W (capa 2,5M/S)]]*7)</f>
        <v>46219</v>
      </c>
      <c r="Z50" s="9"/>
      <c r="AD50" s="9" t="str">
        <f>IF(ISBLANK(Tableau1[[#This Row],[date de livraison réappro]]),"",(IF(Tableau1[[#This Row],[date de livraison réappro]]&lt;Tableau1[[#This Row],[date de rupture estimé]],"OK","RUPTURE")))</f>
        <v/>
      </c>
      <c r="AE50" s="16"/>
      <c r="AG50" s="44"/>
      <c r="AK50" s="6" t="s">
        <v>102</v>
      </c>
      <c r="AM50" s="12">
        <f>Tableau1[[#This Row],[tot tarif ligne]]</f>
        <v>30.5</v>
      </c>
      <c r="AN50" s="12"/>
      <c r="AO50" s="12"/>
      <c r="AP50" s="12"/>
      <c r="AQ50" s="12"/>
      <c r="AR50" s="12"/>
      <c r="AS50" s="12"/>
    </row>
    <row r="51" spans="1:45" hidden="1">
      <c r="A51" s="20" t="s">
        <v>223</v>
      </c>
      <c r="B51" t="s">
        <v>224</v>
      </c>
      <c r="C51" t="s">
        <v>60</v>
      </c>
      <c r="D51" s="29">
        <v>1</v>
      </c>
      <c r="E51" s="32"/>
      <c r="F51" s="32"/>
      <c r="G51" s="32"/>
      <c r="H51" s="1"/>
      <c r="I51" s="32"/>
      <c r="J51" s="1"/>
      <c r="K51" s="1"/>
      <c r="L51" s="1"/>
      <c r="M51" s="1"/>
      <c r="N51" s="1" t="s">
        <v>61</v>
      </c>
      <c r="O51" s="1"/>
      <c r="P51" s="1">
        <v>20</v>
      </c>
      <c r="Q51" s="14">
        <v>30.5</v>
      </c>
      <c r="R51" s="14">
        <f>(SUM(D51:G51,I51))*Q51</f>
        <v>30.5</v>
      </c>
      <c r="S51" s="1"/>
      <c r="T51">
        <f>+Tableau1[[#This Row],[DELAIS (w)]]*7</f>
        <v>0</v>
      </c>
      <c r="U51"/>
      <c r="W51">
        <f>(Tableau1[[#This Row],[DELAIS (w)]]+2)*(2*SUM(Tableau1[[#This Row],[086401 - Train mobile équipé pour DIPRO 3x]:[086885 - Ensemble Codeur - DIPRO 3x]]))</f>
        <v>4</v>
      </c>
      <c r="X51">
        <f>+Tableau1[[#This Row],[STOCK disponible]]/(SUM(Tableau1[[#This Row],[086401 - Train mobile équipé pour DIPRO 3x]:[086885 - Ensemble Codeur - DIPRO 3x]])*2.5)</f>
        <v>0</v>
      </c>
      <c r="Y51" s="9">
        <f ca="1">TODAY()+(Tableau1[[#This Row],[COUVERTURE W (capa 2,5M/S)]]*7)</f>
        <v>46219</v>
      </c>
      <c r="Z51" s="9"/>
      <c r="AD51" s="9" t="str">
        <f>IF(ISBLANK(Tableau1[[#This Row],[date de livraison réappro]]),"",(IF(Tableau1[[#This Row],[date de livraison réappro]]&lt;Tableau1[[#This Row],[date de rupture estimé]],"OK","RUPTURE")))</f>
        <v/>
      </c>
      <c r="AE51" s="16"/>
      <c r="AG51" s="44"/>
      <c r="AM51" s="12">
        <f>Tableau1[[#This Row],[tot tarif ligne]]</f>
        <v>30.5</v>
      </c>
      <c r="AN51" s="12"/>
      <c r="AO51" s="12"/>
      <c r="AP51" s="12"/>
      <c r="AQ51" s="12"/>
      <c r="AR51" s="12"/>
      <c r="AS51" s="12"/>
    </row>
    <row r="52" spans="1:45" ht="30.75" hidden="1">
      <c r="A52" s="20" t="s">
        <v>225</v>
      </c>
      <c r="B52" t="s">
        <v>226</v>
      </c>
      <c r="C52" t="s">
        <v>60</v>
      </c>
      <c r="D52" s="29">
        <v>1</v>
      </c>
      <c r="E52" s="32"/>
      <c r="F52" s="32"/>
      <c r="G52" s="32"/>
      <c r="H52" s="1"/>
      <c r="I52" s="32"/>
      <c r="J52" s="1"/>
      <c r="K52" s="1"/>
      <c r="L52" s="1"/>
      <c r="M52" s="1"/>
      <c r="N52" s="1" t="s">
        <v>61</v>
      </c>
      <c r="O52" s="1"/>
      <c r="P52" s="1">
        <v>20</v>
      </c>
      <c r="Q52" s="14">
        <v>30</v>
      </c>
      <c r="R52" s="14">
        <f>(SUM(D52:G52,I52))*Q52</f>
        <v>30</v>
      </c>
      <c r="S52" s="1"/>
      <c r="T52">
        <f>+Tableau1[[#This Row],[DELAIS (w)]]*7</f>
        <v>0</v>
      </c>
      <c r="U52"/>
      <c r="W52">
        <f>(Tableau1[[#This Row],[DELAIS (w)]]+2)*(2*SUM(Tableau1[[#This Row],[086401 - Train mobile équipé pour DIPRO 3x]:[086885 - Ensemble Codeur - DIPRO 3x]]))</f>
        <v>4</v>
      </c>
      <c r="X52">
        <f>+Tableau1[[#This Row],[STOCK disponible]]/(SUM(Tableau1[[#This Row],[086401 - Train mobile équipé pour DIPRO 3x]:[086885 - Ensemble Codeur - DIPRO 3x]])*2.5)</f>
        <v>0</v>
      </c>
      <c r="Y52" s="9">
        <f ca="1">TODAY()+(Tableau1[[#This Row],[COUVERTURE W (capa 2,5M/S)]]*7)</f>
        <v>46219</v>
      </c>
      <c r="Z52" s="9"/>
      <c r="AD52" s="9" t="str">
        <f>IF(ISBLANK(Tableau1[[#This Row],[date de livraison réappro]]),"",(IF(Tableau1[[#This Row],[date de livraison réappro]]&lt;Tableau1[[#This Row],[date de rupture estimé]],"OK","RUPTURE")))</f>
        <v/>
      </c>
      <c r="AE52" s="16"/>
      <c r="AG52" s="44"/>
      <c r="AK52" s="6" t="s">
        <v>102</v>
      </c>
      <c r="AM52" s="12">
        <f>Tableau1[[#This Row],[tot tarif ligne]]</f>
        <v>30</v>
      </c>
      <c r="AN52" s="12"/>
      <c r="AO52" s="12"/>
      <c r="AP52" s="12"/>
      <c r="AQ52" s="12"/>
      <c r="AR52" s="12"/>
      <c r="AS52" s="12"/>
    </row>
    <row r="53" spans="1:45" ht="30.75" hidden="1">
      <c r="A53" s="20" t="s">
        <v>227</v>
      </c>
      <c r="B53" t="s">
        <v>228</v>
      </c>
      <c r="C53" t="s">
        <v>60</v>
      </c>
      <c r="D53" s="29">
        <v>1</v>
      </c>
      <c r="E53" s="32"/>
      <c r="F53" s="32"/>
      <c r="G53" s="32"/>
      <c r="H53" s="1"/>
      <c r="I53" s="32"/>
      <c r="J53" s="1"/>
      <c r="K53" s="1"/>
      <c r="L53" s="1"/>
      <c r="M53" s="1"/>
      <c r="N53" s="1" t="s">
        <v>61</v>
      </c>
      <c r="O53" s="1"/>
      <c r="P53" s="1">
        <v>20</v>
      </c>
      <c r="Q53" s="14">
        <v>30</v>
      </c>
      <c r="R53" s="14">
        <f>(SUM(D53:G53,I53))*Q53</f>
        <v>30</v>
      </c>
      <c r="S53" s="1"/>
      <c r="T53">
        <f>+Tableau1[[#This Row],[DELAIS (w)]]*7</f>
        <v>0</v>
      </c>
      <c r="U53"/>
      <c r="W53">
        <f>(Tableau1[[#This Row],[DELAIS (w)]]+2)*(2*SUM(Tableau1[[#This Row],[086401 - Train mobile équipé pour DIPRO 3x]:[086885 - Ensemble Codeur - DIPRO 3x]]))</f>
        <v>4</v>
      </c>
      <c r="X53">
        <f>+Tableau1[[#This Row],[STOCK disponible]]/(SUM(Tableau1[[#This Row],[086401 - Train mobile équipé pour DIPRO 3x]:[086885 - Ensemble Codeur - DIPRO 3x]])*2.5)</f>
        <v>0</v>
      </c>
      <c r="Y53" s="9">
        <f ca="1">TODAY()+(Tableau1[[#This Row],[COUVERTURE W (capa 2,5M/S)]]*7)</f>
        <v>46219</v>
      </c>
      <c r="Z53" s="9"/>
      <c r="AD53" s="9" t="str">
        <f>IF(ISBLANK(Tableau1[[#This Row],[date de livraison réappro]]),"",(IF(Tableau1[[#This Row],[date de livraison réappro]]&lt;Tableau1[[#This Row],[date de rupture estimé]],"OK","RUPTURE")))</f>
        <v/>
      </c>
      <c r="AE53" s="16"/>
      <c r="AG53" s="44"/>
      <c r="AK53" s="6" t="s">
        <v>102</v>
      </c>
      <c r="AM53" s="12">
        <f>Tableau1[[#This Row],[tot tarif ligne]]</f>
        <v>30</v>
      </c>
      <c r="AN53" s="12"/>
      <c r="AO53" s="12"/>
      <c r="AP53" s="12"/>
      <c r="AQ53" s="12"/>
      <c r="AR53" s="12"/>
      <c r="AS53" s="12"/>
    </row>
    <row r="54" spans="1:45" ht="30.75" hidden="1">
      <c r="A54" s="20" t="s">
        <v>229</v>
      </c>
      <c r="B54" s="1" t="s">
        <v>230</v>
      </c>
      <c r="C54" t="s">
        <v>60</v>
      </c>
      <c r="D54" s="32">
        <v>2</v>
      </c>
      <c r="E54" s="32">
        <v>2</v>
      </c>
      <c r="F54" s="32"/>
      <c r="G54" s="32"/>
      <c r="H54" s="1"/>
      <c r="I54" s="32"/>
      <c r="J54" s="1"/>
      <c r="K54" s="1"/>
      <c r="L54" s="1"/>
      <c r="M54" s="1" t="s">
        <v>142</v>
      </c>
      <c r="N54" s="1" t="s">
        <v>167</v>
      </c>
      <c r="O54" s="1"/>
      <c r="P54" s="1">
        <v>80</v>
      </c>
      <c r="Q54" s="14">
        <v>7.46</v>
      </c>
      <c r="R54" s="14">
        <f>(SUM(D54:G54,I54))*Q54</f>
        <v>29.84</v>
      </c>
      <c r="S54" s="1">
        <v>4</v>
      </c>
      <c r="T54">
        <f>+Tableau1[[#This Row],[DELAIS (w)]]*7</f>
        <v>28</v>
      </c>
      <c r="U54">
        <v>84</v>
      </c>
      <c r="V54">
        <v>84</v>
      </c>
      <c r="W54">
        <f>(Tableau1[[#This Row],[DELAIS (w)]]+2)*(2.5*SUM(Tableau1[[#This Row],[086401 - Train mobile équipé pour DIPRO 3x]:[086885 - Ensemble Codeur - DIPRO 3x]]))</f>
        <v>60</v>
      </c>
      <c r="X54">
        <f>+Tableau1[[#This Row],[STOCK disponible]]/(SUM(Tableau1[[#This Row],[086401 - Train mobile équipé pour DIPRO 3x]:[086885 - Ensemble Codeur - DIPRO 3x]])*2.5)</f>
        <v>8.4</v>
      </c>
      <c r="Y54" s="9">
        <f ca="1">TODAY()+(Tableau1[[#This Row],[COUVERTURE W (capa 2,5M/S)]]*7)</f>
        <v>46277.8</v>
      </c>
      <c r="Z54" s="9" t="str">
        <f>IF(Tableau1[[#This Row],[STOCK disponible]]&lt;Tableau1[[#This Row],[SEUIL]],"A COMMANDER","")</f>
        <v/>
      </c>
      <c r="AD54" s="9" t="str">
        <f>IF(ISBLANK(Tableau1[[#This Row],[date de livraison réappro]]),"",(IF(Tableau1[[#This Row],[date de livraison réappro]]&lt;Tableau1[[#This Row],[date de rupture estimé]],"OK","RUPTURE")))</f>
        <v/>
      </c>
      <c r="AE54" s="16"/>
      <c r="AG54" s="44"/>
      <c r="AK54" s="6" t="s">
        <v>139</v>
      </c>
      <c r="AM54" s="12"/>
      <c r="AN54" s="12"/>
      <c r="AO54" s="12"/>
      <c r="AP54" s="12"/>
      <c r="AQ54" s="12">
        <f>Tableau1[[#This Row],[tot tarif ligne]]</f>
        <v>29.84</v>
      </c>
      <c r="AR54" s="12"/>
      <c r="AS54" s="12"/>
    </row>
    <row r="55" spans="1:45" ht="30.75" hidden="1">
      <c r="A55" s="20" t="s">
        <v>231</v>
      </c>
      <c r="B55" t="s">
        <v>232</v>
      </c>
      <c r="C55" t="s">
        <v>60</v>
      </c>
      <c r="D55" s="32"/>
      <c r="E55" s="29">
        <v>1</v>
      </c>
      <c r="F55" s="32"/>
      <c r="G55" s="32"/>
      <c r="H55" s="1"/>
      <c r="I55" s="32"/>
      <c r="J55" s="1"/>
      <c r="K55" s="1"/>
      <c r="L55" s="1"/>
      <c r="M55" s="1"/>
      <c r="N55" s="1" t="s">
        <v>61</v>
      </c>
      <c r="O55" s="1"/>
      <c r="P55" s="1">
        <v>20</v>
      </c>
      <c r="Q55" s="14">
        <v>29.5</v>
      </c>
      <c r="R55" s="14">
        <f>(SUM(D55:G55,I55))*Q55</f>
        <v>29.5</v>
      </c>
      <c r="S55" s="1"/>
      <c r="T55">
        <f>+Tableau1[[#This Row],[DELAIS (w)]]*7</f>
        <v>0</v>
      </c>
      <c r="U55"/>
      <c r="W55">
        <f>(Tableau1[[#This Row],[DELAIS (w)]]+2)*(2*SUM(Tableau1[[#This Row],[086401 - Train mobile équipé pour DIPRO 3x]:[086885 - Ensemble Codeur - DIPRO 3x]]))</f>
        <v>4</v>
      </c>
      <c r="X55">
        <f>+Tableau1[[#This Row],[STOCK disponible]]/(SUM(Tableau1[[#This Row],[086401 - Train mobile équipé pour DIPRO 3x]:[086885 - Ensemble Codeur - DIPRO 3x]])*2.5)</f>
        <v>0</v>
      </c>
      <c r="Y55" s="9">
        <f ca="1">TODAY()+(Tableau1[[#This Row],[COUVERTURE W (capa 2,5M/S)]]*7)</f>
        <v>46219</v>
      </c>
      <c r="Z55" s="9"/>
      <c r="AD55" s="9" t="str">
        <f>IF(ISBLANK(Tableau1[[#This Row],[date de livraison réappro]]),"",(IF(Tableau1[[#This Row],[date de livraison réappro]]&lt;Tableau1[[#This Row],[date de rupture estimé]],"OK","RUPTURE")))</f>
        <v/>
      </c>
      <c r="AE55" s="16"/>
      <c r="AG55" s="44"/>
      <c r="AK55" s="6" t="s">
        <v>102</v>
      </c>
      <c r="AM55" s="12">
        <f>Tableau1[[#This Row],[tot tarif ligne]]</f>
        <v>29.5</v>
      </c>
      <c r="AN55" s="12"/>
      <c r="AO55" s="12"/>
      <c r="AP55" s="12"/>
      <c r="AQ55" s="12"/>
      <c r="AR55" s="12"/>
      <c r="AS55" s="12"/>
    </row>
    <row r="56" spans="1:45" ht="30.75" hidden="1">
      <c r="A56" s="20" t="s">
        <v>233</v>
      </c>
      <c r="B56" t="s">
        <v>234</v>
      </c>
      <c r="C56" t="s">
        <v>60</v>
      </c>
      <c r="D56" s="32"/>
      <c r="E56" s="29">
        <v>1</v>
      </c>
      <c r="F56" s="32"/>
      <c r="G56" s="32"/>
      <c r="H56" s="1"/>
      <c r="I56" s="32"/>
      <c r="J56" s="1"/>
      <c r="K56" s="1"/>
      <c r="L56" s="1"/>
      <c r="M56" s="1"/>
      <c r="N56" s="1" t="s">
        <v>61</v>
      </c>
      <c r="O56" s="1"/>
      <c r="P56" s="1">
        <v>20</v>
      </c>
      <c r="Q56" s="14">
        <v>29</v>
      </c>
      <c r="R56" s="14">
        <f>(SUM(D56:G56,I56))*Q56</f>
        <v>29</v>
      </c>
      <c r="S56" s="1"/>
      <c r="T56">
        <f>+Tableau1[[#This Row],[DELAIS (w)]]*7</f>
        <v>0</v>
      </c>
      <c r="U56"/>
      <c r="W56">
        <f>(Tableau1[[#This Row],[DELAIS (w)]]+2)*(2*SUM(Tableau1[[#This Row],[086401 - Train mobile équipé pour DIPRO 3x]:[086885 - Ensemble Codeur - DIPRO 3x]]))</f>
        <v>4</v>
      </c>
      <c r="X56">
        <f>+Tableau1[[#This Row],[STOCK disponible]]/(SUM(Tableau1[[#This Row],[086401 - Train mobile équipé pour DIPRO 3x]:[086885 - Ensemble Codeur - DIPRO 3x]])*2.5)</f>
        <v>0</v>
      </c>
      <c r="Y56" s="9">
        <f ca="1">TODAY()+(Tableau1[[#This Row],[COUVERTURE W (capa 2,5M/S)]]*7)</f>
        <v>46219</v>
      </c>
      <c r="Z56" s="9"/>
      <c r="AD56" s="9" t="str">
        <f>IF(ISBLANK(Tableau1[[#This Row],[date de livraison réappro]]),"",(IF(Tableau1[[#This Row],[date de livraison réappro]]&lt;Tableau1[[#This Row],[date de rupture estimé]],"OK","RUPTURE")))</f>
        <v/>
      </c>
      <c r="AE56" s="16"/>
      <c r="AG56" s="44"/>
      <c r="AK56" s="6" t="s">
        <v>102</v>
      </c>
      <c r="AM56" s="12">
        <f>Tableau1[[#This Row],[tot tarif ligne]]</f>
        <v>29</v>
      </c>
      <c r="AN56" s="12"/>
      <c r="AO56" s="12"/>
      <c r="AP56" s="12"/>
      <c r="AQ56" s="12"/>
      <c r="AR56" s="12"/>
      <c r="AS56" s="12"/>
    </row>
    <row r="57" spans="1:45" ht="30.75" hidden="1">
      <c r="A57" s="20" t="s">
        <v>235</v>
      </c>
      <c r="B57" t="s">
        <v>236</v>
      </c>
      <c r="C57" t="s">
        <v>60</v>
      </c>
      <c r="D57" s="29">
        <v>1</v>
      </c>
      <c r="E57" s="32"/>
      <c r="F57" s="32"/>
      <c r="G57" s="32"/>
      <c r="H57" s="1"/>
      <c r="I57" s="32"/>
      <c r="J57" s="1"/>
      <c r="K57" s="1"/>
      <c r="L57" s="1"/>
      <c r="M57" s="1"/>
      <c r="N57" s="1" t="s">
        <v>61</v>
      </c>
      <c r="O57" s="1"/>
      <c r="P57" s="1">
        <v>20</v>
      </c>
      <c r="Q57" s="14">
        <v>29</v>
      </c>
      <c r="R57" s="14">
        <f>(SUM(D57:G57,I57))*Q57</f>
        <v>29</v>
      </c>
      <c r="S57" s="1"/>
      <c r="T57">
        <f>+Tableau1[[#This Row],[DELAIS (w)]]*7</f>
        <v>0</v>
      </c>
      <c r="U57"/>
      <c r="W57">
        <f>(Tableau1[[#This Row],[DELAIS (w)]]+2)*(2*SUM(Tableau1[[#This Row],[086401 - Train mobile équipé pour DIPRO 3x]:[086885 - Ensemble Codeur - DIPRO 3x]]))</f>
        <v>4</v>
      </c>
      <c r="X57">
        <f>+Tableau1[[#This Row],[STOCK disponible]]/(SUM(Tableau1[[#This Row],[086401 - Train mobile équipé pour DIPRO 3x]:[086885 - Ensemble Codeur - DIPRO 3x]])*2.5)</f>
        <v>0</v>
      </c>
      <c r="Y57" s="9">
        <f ca="1">TODAY()+(Tableau1[[#This Row],[COUVERTURE W (capa 2,5M/S)]]*7)</f>
        <v>46219</v>
      </c>
      <c r="Z57" s="9"/>
      <c r="AD57" s="9" t="str">
        <f>IF(ISBLANK(Tableau1[[#This Row],[date de livraison réappro]]),"",(IF(Tableau1[[#This Row],[date de livraison réappro]]&lt;Tableau1[[#This Row],[date de rupture estimé]],"OK","RUPTURE")))</f>
        <v/>
      </c>
      <c r="AE57" s="16"/>
      <c r="AG57" s="44"/>
      <c r="AK57" s="6" t="s">
        <v>102</v>
      </c>
      <c r="AM57" s="12">
        <f>Tableau1[[#This Row],[tot tarif ligne]]</f>
        <v>29</v>
      </c>
      <c r="AN57" s="12"/>
      <c r="AO57" s="12"/>
      <c r="AP57" s="12"/>
      <c r="AQ57" s="12"/>
      <c r="AR57" s="12"/>
      <c r="AS57" s="12"/>
    </row>
    <row r="58" spans="1:45" ht="30.75" hidden="1">
      <c r="A58" s="20" t="s">
        <v>237</v>
      </c>
      <c r="B58" t="s">
        <v>238</v>
      </c>
      <c r="C58" t="s">
        <v>60</v>
      </c>
      <c r="D58" s="32"/>
      <c r="E58" s="29">
        <v>1</v>
      </c>
      <c r="F58" s="32"/>
      <c r="G58" s="32"/>
      <c r="H58" s="1"/>
      <c r="I58" s="32"/>
      <c r="J58" s="1"/>
      <c r="K58" s="1"/>
      <c r="L58" s="1"/>
      <c r="M58" s="1"/>
      <c r="N58" s="1" t="s">
        <v>61</v>
      </c>
      <c r="O58" s="1"/>
      <c r="P58" s="1">
        <v>20</v>
      </c>
      <c r="Q58" s="14">
        <v>27.5</v>
      </c>
      <c r="R58" s="14">
        <f>(SUM(D58:G58,I58))*Q58</f>
        <v>27.5</v>
      </c>
      <c r="S58" s="1"/>
      <c r="T58">
        <f>+Tableau1[[#This Row],[DELAIS (w)]]*7</f>
        <v>0</v>
      </c>
      <c r="U58"/>
      <c r="W58">
        <f>(Tableau1[[#This Row],[DELAIS (w)]]+2)*(2*SUM(Tableau1[[#This Row],[086401 - Train mobile équipé pour DIPRO 3x]:[086885 - Ensemble Codeur - DIPRO 3x]]))</f>
        <v>4</v>
      </c>
      <c r="X58">
        <f>+Tableau1[[#This Row],[STOCK disponible]]/(SUM(Tableau1[[#This Row],[086401 - Train mobile équipé pour DIPRO 3x]:[086885 - Ensemble Codeur - DIPRO 3x]])*2.5)</f>
        <v>0</v>
      </c>
      <c r="Y58" s="9">
        <f ca="1">TODAY()+(Tableau1[[#This Row],[COUVERTURE W (capa 2,5M/S)]]*7)</f>
        <v>46219</v>
      </c>
      <c r="Z58" s="9"/>
      <c r="AD58" s="9" t="str">
        <f>IF(ISBLANK(Tableau1[[#This Row],[date de livraison réappro]]),"",(IF(Tableau1[[#This Row],[date de livraison réappro]]&lt;Tableau1[[#This Row],[date de rupture estimé]],"OK","RUPTURE")))</f>
        <v/>
      </c>
      <c r="AE58" s="16"/>
      <c r="AG58" s="44"/>
      <c r="AK58" s="6" t="s">
        <v>102</v>
      </c>
      <c r="AM58" s="12">
        <f>Tableau1[[#This Row],[tot tarif ligne]]</f>
        <v>27.5</v>
      </c>
      <c r="AN58" s="12"/>
      <c r="AO58" s="12"/>
      <c r="AP58" s="12"/>
      <c r="AQ58" s="12"/>
      <c r="AR58" s="12"/>
      <c r="AS58" s="12"/>
    </row>
    <row r="59" spans="1:45" ht="30.75" hidden="1">
      <c r="A59" s="20" t="s">
        <v>239</v>
      </c>
      <c r="B59" t="s">
        <v>240</v>
      </c>
      <c r="C59" t="s">
        <v>60</v>
      </c>
      <c r="D59" s="29">
        <v>1</v>
      </c>
      <c r="E59" s="32"/>
      <c r="F59" s="32"/>
      <c r="G59" s="32"/>
      <c r="H59" s="1"/>
      <c r="I59" s="32"/>
      <c r="J59" s="1"/>
      <c r="K59" s="1"/>
      <c r="L59" s="1"/>
      <c r="M59" s="1"/>
      <c r="N59" s="1" t="s">
        <v>61</v>
      </c>
      <c r="O59" s="1"/>
      <c r="P59" s="1">
        <v>20</v>
      </c>
      <c r="Q59" s="14">
        <v>27</v>
      </c>
      <c r="R59" s="14">
        <f>(SUM(D59:G59,I59))*Q59</f>
        <v>27</v>
      </c>
      <c r="S59" s="1"/>
      <c r="T59">
        <f>+Tableau1[[#This Row],[DELAIS (w)]]*7</f>
        <v>0</v>
      </c>
      <c r="U59"/>
      <c r="W59">
        <f>(Tableau1[[#This Row],[DELAIS (w)]]+2)*(2*SUM(Tableau1[[#This Row],[086401 - Train mobile équipé pour DIPRO 3x]:[086885 - Ensemble Codeur - DIPRO 3x]]))</f>
        <v>4</v>
      </c>
      <c r="X59">
        <f>+Tableau1[[#This Row],[STOCK disponible]]/(SUM(Tableau1[[#This Row],[086401 - Train mobile équipé pour DIPRO 3x]:[086885 - Ensemble Codeur - DIPRO 3x]])*2.5)</f>
        <v>0</v>
      </c>
      <c r="Y59" s="9">
        <f ca="1">TODAY()+(Tableau1[[#This Row],[COUVERTURE W (capa 2,5M/S)]]*7)</f>
        <v>46219</v>
      </c>
      <c r="Z59" s="9"/>
      <c r="AD59" s="9" t="str">
        <f>IF(ISBLANK(Tableau1[[#This Row],[date de livraison réappro]]),"",(IF(Tableau1[[#This Row],[date de livraison réappro]]&lt;Tableau1[[#This Row],[date de rupture estimé]],"OK","RUPTURE")))</f>
        <v/>
      </c>
      <c r="AE59" s="16"/>
      <c r="AG59" s="44"/>
      <c r="AK59" s="6" t="s">
        <v>102</v>
      </c>
      <c r="AM59" s="12">
        <f>Tableau1[[#This Row],[tot tarif ligne]]</f>
        <v>27</v>
      </c>
      <c r="AN59" s="12"/>
      <c r="AO59" s="12"/>
      <c r="AP59" s="12"/>
      <c r="AQ59" s="12"/>
      <c r="AR59" s="12"/>
      <c r="AS59" s="12"/>
    </row>
    <row r="60" spans="1:45" ht="30.75" hidden="1">
      <c r="A60" s="20" t="s">
        <v>241</v>
      </c>
      <c r="B60" t="s">
        <v>242</v>
      </c>
      <c r="C60" t="s">
        <v>60</v>
      </c>
      <c r="D60" s="32"/>
      <c r="E60" s="29">
        <v>1</v>
      </c>
      <c r="F60" s="32"/>
      <c r="G60" s="32"/>
      <c r="H60" s="1"/>
      <c r="I60" s="32"/>
      <c r="J60" s="1"/>
      <c r="K60" s="1"/>
      <c r="L60" s="1"/>
      <c r="M60" s="1"/>
      <c r="N60" s="1" t="s">
        <v>61</v>
      </c>
      <c r="O60" s="1"/>
      <c r="P60" s="1">
        <v>20</v>
      </c>
      <c r="Q60" s="14">
        <v>26.5</v>
      </c>
      <c r="R60" s="14">
        <f>(SUM(D60:G60,I60))*Q60</f>
        <v>26.5</v>
      </c>
      <c r="S60" s="1"/>
      <c r="T60">
        <f>+Tableau1[[#This Row],[DELAIS (w)]]*7</f>
        <v>0</v>
      </c>
      <c r="U60"/>
      <c r="W60">
        <f>(Tableau1[[#This Row],[DELAIS (w)]]+2)*(2*SUM(Tableau1[[#This Row],[086401 - Train mobile équipé pour DIPRO 3x]:[086885 - Ensemble Codeur - DIPRO 3x]]))</f>
        <v>4</v>
      </c>
      <c r="X60">
        <f>+Tableau1[[#This Row],[STOCK disponible]]/(SUM(Tableau1[[#This Row],[086401 - Train mobile équipé pour DIPRO 3x]:[086885 - Ensemble Codeur - DIPRO 3x]])*2.5)</f>
        <v>0</v>
      </c>
      <c r="Y60" s="9">
        <f ca="1">TODAY()+(Tableau1[[#This Row],[COUVERTURE W (capa 2,5M/S)]]*7)</f>
        <v>46219</v>
      </c>
      <c r="Z60" s="9"/>
      <c r="AD60" s="9" t="str">
        <f>IF(ISBLANK(Tableau1[[#This Row],[date de livraison réappro]]),"",(IF(Tableau1[[#This Row],[date de livraison réappro]]&lt;Tableau1[[#This Row],[date de rupture estimé]],"OK","RUPTURE")))</f>
        <v/>
      </c>
      <c r="AE60" s="16"/>
      <c r="AG60" s="44"/>
      <c r="AK60" s="6" t="s">
        <v>102</v>
      </c>
      <c r="AM60" s="12">
        <f>Tableau1[[#This Row],[tot tarif ligne]]</f>
        <v>26.5</v>
      </c>
      <c r="AN60" s="12"/>
      <c r="AO60" s="12"/>
      <c r="AP60" s="12"/>
      <c r="AQ60" s="12"/>
      <c r="AR60" s="12"/>
      <c r="AS60" s="12"/>
    </row>
    <row r="61" spans="1:45" ht="30.75" hidden="1">
      <c r="A61" s="20" t="s">
        <v>243</v>
      </c>
      <c r="B61" t="s">
        <v>244</v>
      </c>
      <c r="C61" t="s">
        <v>60</v>
      </c>
      <c r="D61" s="32"/>
      <c r="E61" s="29">
        <v>1</v>
      </c>
      <c r="F61" s="32"/>
      <c r="G61" s="32"/>
      <c r="H61" s="1"/>
      <c r="I61" s="32"/>
      <c r="J61" s="1"/>
      <c r="K61" s="1"/>
      <c r="L61" s="1"/>
      <c r="M61" s="1"/>
      <c r="N61" s="1" t="s">
        <v>61</v>
      </c>
      <c r="O61" s="1"/>
      <c r="P61" s="1">
        <v>20</v>
      </c>
      <c r="Q61" s="14">
        <v>26.5</v>
      </c>
      <c r="R61" s="14">
        <f>(SUM(D61:G61,I61))*Q61</f>
        <v>26.5</v>
      </c>
      <c r="S61" s="1"/>
      <c r="T61">
        <f>+Tableau1[[#This Row],[DELAIS (w)]]*7</f>
        <v>0</v>
      </c>
      <c r="U61"/>
      <c r="W61">
        <f>(Tableau1[[#This Row],[DELAIS (w)]]+2)*(2*SUM(Tableau1[[#This Row],[086401 - Train mobile équipé pour DIPRO 3x]:[086885 - Ensemble Codeur - DIPRO 3x]]))</f>
        <v>4</v>
      </c>
      <c r="X61">
        <f>+Tableau1[[#This Row],[STOCK disponible]]/(SUM(Tableau1[[#This Row],[086401 - Train mobile équipé pour DIPRO 3x]:[086885 - Ensemble Codeur - DIPRO 3x]])*2.5)</f>
        <v>0</v>
      </c>
      <c r="Y61" s="9">
        <f ca="1">TODAY()+(Tableau1[[#This Row],[COUVERTURE W (capa 2,5M/S)]]*7)</f>
        <v>46219</v>
      </c>
      <c r="Z61" s="9"/>
      <c r="AD61" s="9" t="str">
        <f>IF(ISBLANK(Tableau1[[#This Row],[date de livraison réappro]]),"",(IF(Tableau1[[#This Row],[date de livraison réappro]]&lt;Tableau1[[#This Row],[date de rupture estimé]],"OK","RUPTURE")))</f>
        <v/>
      </c>
      <c r="AE61" s="16"/>
      <c r="AG61" s="44"/>
      <c r="AK61" s="6" t="s">
        <v>102</v>
      </c>
      <c r="AM61" s="12">
        <f>Tableau1[[#This Row],[tot tarif ligne]]</f>
        <v>26.5</v>
      </c>
      <c r="AN61" s="12"/>
      <c r="AO61" s="12"/>
      <c r="AP61" s="12"/>
      <c r="AQ61" s="12"/>
      <c r="AR61" s="12"/>
      <c r="AS61" s="12"/>
    </row>
    <row r="62" spans="1:45" ht="30.75" hidden="1">
      <c r="A62" s="20" t="s">
        <v>245</v>
      </c>
      <c r="B62" t="s">
        <v>246</v>
      </c>
      <c r="C62" t="s">
        <v>60</v>
      </c>
      <c r="D62" s="32"/>
      <c r="E62" s="29">
        <v>1</v>
      </c>
      <c r="F62" s="32"/>
      <c r="G62" s="32"/>
      <c r="H62" s="1"/>
      <c r="I62" s="32"/>
      <c r="J62" s="1"/>
      <c r="K62" s="1"/>
      <c r="L62" s="1"/>
      <c r="M62" s="1"/>
      <c r="N62" s="1" t="s">
        <v>61</v>
      </c>
      <c r="O62" s="1"/>
      <c r="P62" s="1">
        <v>20</v>
      </c>
      <c r="Q62" s="14">
        <v>26</v>
      </c>
      <c r="R62" s="14">
        <f>(SUM(D62:G62,I62))*Q62</f>
        <v>26</v>
      </c>
      <c r="S62" s="1"/>
      <c r="T62">
        <f>+Tableau1[[#This Row],[DELAIS (w)]]*7</f>
        <v>0</v>
      </c>
      <c r="U62"/>
      <c r="W62">
        <f>(Tableau1[[#This Row],[DELAIS (w)]]+2)*(2*SUM(Tableau1[[#This Row],[086401 - Train mobile équipé pour DIPRO 3x]:[086885 - Ensemble Codeur - DIPRO 3x]]))</f>
        <v>4</v>
      </c>
      <c r="X62">
        <f>+Tableau1[[#This Row],[STOCK disponible]]/(SUM(Tableau1[[#This Row],[086401 - Train mobile équipé pour DIPRO 3x]:[086885 - Ensemble Codeur - DIPRO 3x]])*2.5)</f>
        <v>0</v>
      </c>
      <c r="Y62" s="9">
        <f ca="1">TODAY()+(Tableau1[[#This Row],[COUVERTURE W (capa 2,5M/S)]]*7)</f>
        <v>46219</v>
      </c>
      <c r="Z62" s="9"/>
      <c r="AD62" s="9" t="str">
        <f>IF(ISBLANK(Tableau1[[#This Row],[date de livraison réappro]]),"",(IF(Tableau1[[#This Row],[date de livraison réappro]]&lt;Tableau1[[#This Row],[date de rupture estimé]],"OK","RUPTURE")))</f>
        <v/>
      </c>
      <c r="AE62" s="16"/>
      <c r="AG62" s="44"/>
      <c r="AK62" s="6" t="s">
        <v>102</v>
      </c>
      <c r="AM62" s="12">
        <f>Tableau1[[#This Row],[tot tarif ligne]]</f>
        <v>26</v>
      </c>
      <c r="AN62" s="12"/>
      <c r="AO62" s="12"/>
      <c r="AP62" s="12"/>
      <c r="AQ62" s="12"/>
      <c r="AR62" s="12"/>
      <c r="AS62" s="12"/>
    </row>
    <row r="63" spans="1:45" ht="30.75" hidden="1">
      <c r="A63" s="20" t="s">
        <v>247</v>
      </c>
      <c r="B63" t="s">
        <v>248</v>
      </c>
      <c r="C63" t="s">
        <v>60</v>
      </c>
      <c r="D63" s="29">
        <v>1</v>
      </c>
      <c r="E63" s="32"/>
      <c r="F63" s="32"/>
      <c r="G63" s="32"/>
      <c r="H63" s="1"/>
      <c r="I63" s="32"/>
      <c r="J63" s="1"/>
      <c r="K63" s="1"/>
      <c r="L63" s="1"/>
      <c r="M63" s="1"/>
      <c r="N63" s="1" t="s">
        <v>61</v>
      </c>
      <c r="O63" s="1"/>
      <c r="P63" s="1">
        <v>20</v>
      </c>
      <c r="Q63" s="14">
        <v>25</v>
      </c>
      <c r="R63" s="14">
        <f>(SUM(D63:G63,I63))*Q63</f>
        <v>25</v>
      </c>
      <c r="S63" s="1"/>
      <c r="T63">
        <f>+Tableau1[[#This Row],[DELAIS (w)]]*7</f>
        <v>0</v>
      </c>
      <c r="U63"/>
      <c r="W63">
        <f>(Tableau1[[#This Row],[DELAIS (w)]]+2)*(2*SUM(Tableau1[[#This Row],[086401 - Train mobile équipé pour DIPRO 3x]:[086885 - Ensemble Codeur - DIPRO 3x]]))</f>
        <v>4</v>
      </c>
      <c r="X63">
        <f>+Tableau1[[#This Row],[STOCK disponible]]/(SUM(Tableau1[[#This Row],[086401 - Train mobile équipé pour DIPRO 3x]:[086885 - Ensemble Codeur - DIPRO 3x]])*2.5)</f>
        <v>0</v>
      </c>
      <c r="Y63" s="9">
        <f ca="1">TODAY()+(Tableau1[[#This Row],[COUVERTURE W (capa 2,5M/S)]]*7)</f>
        <v>46219</v>
      </c>
      <c r="Z63" s="9"/>
      <c r="AD63" s="9" t="str">
        <f>IF(ISBLANK(Tableau1[[#This Row],[date de livraison réappro]]),"",(IF(Tableau1[[#This Row],[date de livraison réappro]]&lt;Tableau1[[#This Row],[date de rupture estimé]],"OK","RUPTURE")))</f>
        <v/>
      </c>
      <c r="AE63" s="16"/>
      <c r="AG63" s="44"/>
      <c r="AK63" s="6" t="s">
        <v>102</v>
      </c>
      <c r="AM63" s="12">
        <f>Tableau1[[#This Row],[tot tarif ligne]]</f>
        <v>25</v>
      </c>
      <c r="AN63" s="12"/>
      <c r="AO63" s="12"/>
      <c r="AP63" s="12"/>
      <c r="AQ63" s="12"/>
      <c r="AR63" s="12"/>
      <c r="AS63" s="12"/>
    </row>
    <row r="64" spans="1:45" ht="30.75" hidden="1">
      <c r="A64" s="20" t="s">
        <v>249</v>
      </c>
      <c r="B64" t="s">
        <v>250</v>
      </c>
      <c r="C64" t="s">
        <v>60</v>
      </c>
      <c r="D64" s="29">
        <v>1</v>
      </c>
      <c r="E64" s="32"/>
      <c r="F64" s="32"/>
      <c r="G64" s="32"/>
      <c r="H64" s="1"/>
      <c r="I64" s="32"/>
      <c r="J64" s="1"/>
      <c r="K64" s="1"/>
      <c r="L64" s="1"/>
      <c r="M64" s="1"/>
      <c r="N64" s="1" t="s">
        <v>61</v>
      </c>
      <c r="O64" s="1"/>
      <c r="P64" s="1">
        <v>20</v>
      </c>
      <c r="Q64" s="14">
        <v>24</v>
      </c>
      <c r="R64" s="14">
        <f>(SUM(D64:G64,I64))*Q64</f>
        <v>24</v>
      </c>
      <c r="S64" s="1"/>
      <c r="T64">
        <f>+Tableau1[[#This Row],[DELAIS (w)]]*7</f>
        <v>0</v>
      </c>
      <c r="U64"/>
      <c r="W64">
        <f>(Tableau1[[#This Row],[DELAIS (w)]]+2)*(2*SUM(Tableau1[[#This Row],[086401 - Train mobile équipé pour DIPRO 3x]:[086885 - Ensemble Codeur - DIPRO 3x]]))</f>
        <v>4</v>
      </c>
      <c r="X64">
        <f>+Tableau1[[#This Row],[STOCK disponible]]/(SUM(Tableau1[[#This Row],[086401 - Train mobile équipé pour DIPRO 3x]:[086885 - Ensemble Codeur - DIPRO 3x]])*2.5)</f>
        <v>0</v>
      </c>
      <c r="Y64" s="9">
        <f ca="1">TODAY()+(Tableau1[[#This Row],[COUVERTURE W (capa 2,5M/S)]]*7)</f>
        <v>46219</v>
      </c>
      <c r="Z64" s="9"/>
      <c r="AD64" s="9" t="str">
        <f>IF(ISBLANK(Tableau1[[#This Row],[date de livraison réappro]]),"",(IF(Tableau1[[#This Row],[date de livraison réappro]]&lt;Tableau1[[#This Row],[date de rupture estimé]],"OK","RUPTURE")))</f>
        <v/>
      </c>
      <c r="AE64" s="16"/>
      <c r="AG64" s="44"/>
      <c r="AK64" s="6" t="s">
        <v>102</v>
      </c>
      <c r="AM64" s="12">
        <f>Tableau1[[#This Row],[tot tarif ligne]]</f>
        <v>24</v>
      </c>
      <c r="AN64" s="12"/>
      <c r="AO64" s="12"/>
      <c r="AP64" s="12"/>
      <c r="AQ64" s="12"/>
      <c r="AR64" s="12"/>
      <c r="AS64" s="12"/>
    </row>
    <row r="65" spans="1:45" ht="30.75" hidden="1">
      <c r="A65" s="20" t="s">
        <v>251</v>
      </c>
      <c r="B65" t="s">
        <v>252</v>
      </c>
      <c r="C65" t="s">
        <v>60</v>
      </c>
      <c r="D65" s="32"/>
      <c r="E65" s="29">
        <v>1</v>
      </c>
      <c r="F65" s="32"/>
      <c r="G65" s="32"/>
      <c r="H65" s="1"/>
      <c r="I65" s="32"/>
      <c r="J65" s="1"/>
      <c r="K65" s="1"/>
      <c r="L65" s="1"/>
      <c r="M65" s="1"/>
      <c r="N65" s="1" t="s">
        <v>61</v>
      </c>
      <c r="O65" s="1"/>
      <c r="P65" s="1">
        <v>20</v>
      </c>
      <c r="Q65" s="14">
        <v>23.5</v>
      </c>
      <c r="R65" s="14">
        <f>(SUM(D65:G65,I65))*Q65</f>
        <v>23.5</v>
      </c>
      <c r="S65" s="1"/>
      <c r="T65">
        <f>+Tableau1[[#This Row],[DELAIS (w)]]*7</f>
        <v>0</v>
      </c>
      <c r="U65"/>
      <c r="W65">
        <f>(Tableau1[[#This Row],[DELAIS (w)]]+2)*(2*SUM(Tableau1[[#This Row],[086401 - Train mobile équipé pour DIPRO 3x]:[086885 - Ensemble Codeur - DIPRO 3x]]))</f>
        <v>4</v>
      </c>
      <c r="X65">
        <f>+Tableau1[[#This Row],[STOCK disponible]]/(SUM(Tableau1[[#This Row],[086401 - Train mobile équipé pour DIPRO 3x]:[086885 - Ensemble Codeur - DIPRO 3x]])*2.5)</f>
        <v>0</v>
      </c>
      <c r="Y65" s="9">
        <f ca="1">TODAY()+(Tableau1[[#This Row],[COUVERTURE W (capa 2,5M/S)]]*7)</f>
        <v>46219</v>
      </c>
      <c r="Z65" s="9"/>
      <c r="AD65" s="9" t="str">
        <f>IF(ISBLANK(Tableau1[[#This Row],[date de livraison réappro]]),"",(IF(Tableau1[[#This Row],[date de livraison réappro]]&lt;Tableau1[[#This Row],[date de rupture estimé]],"OK","RUPTURE")))</f>
        <v/>
      </c>
      <c r="AE65" s="16"/>
      <c r="AG65" s="44"/>
      <c r="AK65" s="6" t="s">
        <v>102</v>
      </c>
      <c r="AM65" s="12">
        <f>Tableau1[[#This Row],[tot tarif ligne]]</f>
        <v>23.5</v>
      </c>
      <c r="AN65" s="12"/>
      <c r="AO65" s="12"/>
      <c r="AP65" s="12"/>
      <c r="AQ65" s="12"/>
      <c r="AR65" s="12"/>
      <c r="AS65" s="12"/>
    </row>
    <row r="66" spans="1:45" ht="30.75" hidden="1">
      <c r="A66" s="20" t="s">
        <v>253</v>
      </c>
      <c r="B66" t="s">
        <v>254</v>
      </c>
      <c r="C66" t="s">
        <v>60</v>
      </c>
      <c r="D66" s="32"/>
      <c r="E66" s="29">
        <v>1</v>
      </c>
      <c r="F66" s="32"/>
      <c r="G66" s="32"/>
      <c r="H66" s="1"/>
      <c r="I66" s="32"/>
      <c r="J66" s="1"/>
      <c r="K66" s="1"/>
      <c r="L66" s="1"/>
      <c r="M66" s="1"/>
      <c r="N66" s="1" t="s">
        <v>61</v>
      </c>
      <c r="O66" s="1"/>
      <c r="P66" s="1">
        <v>20</v>
      </c>
      <c r="Q66" s="14">
        <v>22</v>
      </c>
      <c r="R66" s="14">
        <f>(SUM(D66:G66,I66))*Q66</f>
        <v>22</v>
      </c>
      <c r="S66" s="1"/>
      <c r="T66">
        <f>+Tableau1[[#This Row],[DELAIS (w)]]*7</f>
        <v>0</v>
      </c>
      <c r="U66"/>
      <c r="W66">
        <f>(Tableau1[[#This Row],[DELAIS (w)]]+2)*(2*SUM(Tableau1[[#This Row],[086401 - Train mobile équipé pour DIPRO 3x]:[086885 - Ensemble Codeur - DIPRO 3x]]))</f>
        <v>4</v>
      </c>
      <c r="X66">
        <f>+Tableau1[[#This Row],[STOCK disponible]]/(SUM(Tableau1[[#This Row],[086401 - Train mobile équipé pour DIPRO 3x]:[086885 - Ensemble Codeur - DIPRO 3x]])*2.5)</f>
        <v>0</v>
      </c>
      <c r="Y66" s="9">
        <f ca="1">TODAY()+(Tableau1[[#This Row],[COUVERTURE W (capa 2,5M/S)]]*7)</f>
        <v>46219</v>
      </c>
      <c r="Z66" s="9"/>
      <c r="AD66" s="9" t="str">
        <f>IF(ISBLANK(Tableau1[[#This Row],[date de livraison réappro]]),"",(IF(Tableau1[[#This Row],[date de livraison réappro]]&lt;Tableau1[[#This Row],[date de rupture estimé]],"OK","RUPTURE")))</f>
        <v/>
      </c>
      <c r="AE66" s="16"/>
      <c r="AG66" s="44"/>
      <c r="AK66" s="6" t="s">
        <v>102</v>
      </c>
      <c r="AM66" s="12">
        <f>Tableau1[[#This Row],[tot tarif ligne]]</f>
        <v>22</v>
      </c>
      <c r="AN66" s="12"/>
      <c r="AO66" s="12"/>
      <c r="AP66" s="12"/>
      <c r="AQ66" s="12"/>
      <c r="AR66" s="12"/>
      <c r="AS66" s="12"/>
    </row>
    <row r="67" spans="1:45" hidden="1">
      <c r="A67" s="20" t="s">
        <v>255</v>
      </c>
      <c r="B67" s="1" t="s">
        <v>256</v>
      </c>
      <c r="C67" s="1" t="s">
        <v>52</v>
      </c>
      <c r="D67" s="32"/>
      <c r="E67" s="32"/>
      <c r="F67" s="32"/>
      <c r="G67" s="32"/>
      <c r="H67" s="1">
        <v>1</v>
      </c>
      <c r="I67" s="32">
        <v>1</v>
      </c>
      <c r="J67" s="1"/>
      <c r="K67" s="1"/>
      <c r="L67" s="1"/>
      <c r="M67" s="1" t="s">
        <v>142</v>
      </c>
      <c r="N67" s="1" t="s">
        <v>167</v>
      </c>
      <c r="O67" s="1"/>
      <c r="P67" s="1">
        <v>40</v>
      </c>
      <c r="Q67" s="14">
        <v>21.08</v>
      </c>
      <c r="R67" s="14">
        <f>(SUM(D67:G67,I67))*Q67</f>
        <v>21.08</v>
      </c>
      <c r="S67" s="1">
        <v>3</v>
      </c>
      <c r="T67">
        <f>+Tableau1[[#This Row],[DELAIS (w)]]*7</f>
        <v>21</v>
      </c>
      <c r="U67">
        <v>43</v>
      </c>
      <c r="V67">
        <v>43</v>
      </c>
      <c r="W67">
        <f>(Tableau1[[#This Row],[DELAIS (w)]]+2)*(2.5*SUM(Tableau1[[#This Row],[086401 - Train mobile équipé pour DIPRO 3x]:[086885 - Ensemble Codeur - DIPRO 3x]]))</f>
        <v>25</v>
      </c>
      <c r="X67">
        <f>+Tableau1[[#This Row],[STOCK disponible]]/(SUM(Tableau1[[#This Row],[086401 - Train mobile équipé pour DIPRO 3x]:[086885 - Ensemble Codeur - DIPRO 3x]])*2.5)</f>
        <v>8.6</v>
      </c>
      <c r="Y67" s="9">
        <f ca="1">TODAY()+(Tableau1[[#This Row],[COUVERTURE W (capa 2,5M/S)]]*7)</f>
        <v>46279.199999999997</v>
      </c>
      <c r="Z67" s="9" t="str">
        <f>IF(Tableau1[[#This Row],[STOCK disponible]]&lt;Tableau1[[#This Row],[SEUIL]],"A COMMANDER","")</f>
        <v/>
      </c>
      <c r="AD67" s="9" t="str">
        <f>IF(ISBLANK(Tableau1[[#This Row],[date de livraison réappro]]),"",(IF(Tableau1[[#This Row],[date de livraison réappro]]&lt;Tableau1[[#This Row],[date de rupture estimé]],"OK","RUPTURE")))</f>
        <v/>
      </c>
      <c r="AE67" s="17">
        <v>9</v>
      </c>
      <c r="AG67" s="44"/>
      <c r="AM67" s="12"/>
      <c r="AN67" s="12"/>
      <c r="AO67" s="12"/>
      <c r="AP67" s="12"/>
      <c r="AQ67" s="12">
        <f>Tableau1[[#This Row],[tot tarif ligne]]</f>
        <v>21.08</v>
      </c>
      <c r="AR67" s="12"/>
      <c r="AS67" s="12"/>
    </row>
    <row r="68" spans="1:45" ht="30.75" hidden="1">
      <c r="A68" s="20" t="s">
        <v>257</v>
      </c>
      <c r="B68" t="s">
        <v>258</v>
      </c>
      <c r="C68" t="s">
        <v>60</v>
      </c>
      <c r="D68" s="32"/>
      <c r="E68" s="29">
        <v>1</v>
      </c>
      <c r="F68" s="32"/>
      <c r="G68" s="32"/>
      <c r="H68" s="1"/>
      <c r="I68" s="32"/>
      <c r="J68" s="1"/>
      <c r="K68" s="1"/>
      <c r="L68" s="1"/>
      <c r="M68" s="1"/>
      <c r="N68" s="1" t="s">
        <v>61</v>
      </c>
      <c r="O68" s="1"/>
      <c r="P68" s="1">
        <v>20</v>
      </c>
      <c r="Q68" s="14">
        <v>21</v>
      </c>
      <c r="R68" s="14">
        <f>(SUM(D68:G68,I68))*Q68</f>
        <v>21</v>
      </c>
      <c r="S68" s="1"/>
      <c r="T68">
        <f>+Tableau1[[#This Row],[DELAIS (w)]]*7</f>
        <v>0</v>
      </c>
      <c r="U68"/>
      <c r="W68">
        <f>(Tableau1[[#This Row],[DELAIS (w)]]+2)*(2*SUM(Tableau1[[#This Row],[086401 - Train mobile équipé pour DIPRO 3x]:[086885 - Ensemble Codeur - DIPRO 3x]]))</f>
        <v>4</v>
      </c>
      <c r="X68">
        <f>+Tableau1[[#This Row],[STOCK disponible]]/(SUM(Tableau1[[#This Row],[086401 - Train mobile équipé pour DIPRO 3x]:[086885 - Ensemble Codeur - DIPRO 3x]])*2.5)</f>
        <v>0</v>
      </c>
      <c r="Y68" s="9">
        <f ca="1">TODAY()+(Tableau1[[#This Row],[COUVERTURE W (capa 2,5M/S)]]*7)</f>
        <v>46219</v>
      </c>
      <c r="Z68" s="9"/>
      <c r="AD68" s="9" t="str">
        <f>IF(ISBLANK(Tableau1[[#This Row],[date de livraison réappro]]),"",(IF(Tableau1[[#This Row],[date de livraison réappro]]&lt;Tableau1[[#This Row],[date de rupture estimé]],"OK","RUPTURE")))</f>
        <v/>
      </c>
      <c r="AE68" s="16"/>
      <c r="AG68" s="44"/>
      <c r="AK68" s="6" t="s">
        <v>102</v>
      </c>
      <c r="AM68" s="12">
        <f>Tableau1[[#This Row],[tot tarif ligne]]</f>
        <v>21</v>
      </c>
      <c r="AN68" s="12"/>
      <c r="AO68" s="12"/>
      <c r="AP68" s="12"/>
      <c r="AQ68" s="12"/>
      <c r="AR68" s="12"/>
      <c r="AS68" s="12"/>
    </row>
    <row r="69" spans="1:45" hidden="1">
      <c r="A69" s="20" t="s">
        <v>259</v>
      </c>
      <c r="B69" s="27" t="s">
        <v>260</v>
      </c>
      <c r="C69" t="s">
        <v>60</v>
      </c>
      <c r="D69" s="29">
        <v>1</v>
      </c>
      <c r="E69" s="32"/>
      <c r="F69" s="32"/>
      <c r="G69" s="32"/>
      <c r="H69" s="1"/>
      <c r="I69" s="32"/>
      <c r="J69" s="1"/>
      <c r="K69" s="1"/>
      <c r="L69" s="1"/>
      <c r="M69" s="1"/>
      <c r="N69" s="1" t="s">
        <v>61</v>
      </c>
      <c r="O69" s="1"/>
      <c r="P69" s="1">
        <v>20</v>
      </c>
      <c r="Q69" s="28">
        <v>21</v>
      </c>
      <c r="R69" s="14">
        <f>(SUM(D69:G69,I69))*Q69</f>
        <v>21</v>
      </c>
      <c r="S69" s="1"/>
      <c r="T69">
        <f>+Tableau1[[#This Row],[DELAIS (w)]]*7</f>
        <v>0</v>
      </c>
      <c r="U69"/>
      <c r="W69">
        <f>(Tableau1[[#This Row],[DELAIS (w)]]+2)*(2*SUM(Tableau1[[#This Row],[086401 - Train mobile équipé pour DIPRO 3x]:[086885 - Ensemble Codeur - DIPRO 3x]]))</f>
        <v>4</v>
      </c>
      <c r="X69">
        <f>+Tableau1[[#This Row],[STOCK disponible]]/(SUM(Tableau1[[#This Row],[086401 - Train mobile équipé pour DIPRO 3x]:[086885 - Ensemble Codeur - DIPRO 3x]])*2.5)</f>
        <v>0</v>
      </c>
      <c r="Y69" s="9">
        <f ca="1">TODAY()+(Tableau1[[#This Row],[COUVERTURE W (capa 2,5M/S)]]*7)</f>
        <v>46219</v>
      </c>
      <c r="Z69" s="9"/>
      <c r="AD69" s="9" t="str">
        <f>IF(ISBLANK(Tableau1[[#This Row],[date de livraison réappro]]),"",(IF(Tableau1[[#This Row],[date de livraison réappro]]&lt;Tableau1[[#This Row],[date de rupture estimé]],"OK","RUPTURE")))</f>
        <v/>
      </c>
      <c r="AE69" s="16"/>
      <c r="AG69" s="44"/>
      <c r="AM69" s="38">
        <f>Tableau1[[#This Row],[tot tarif ligne]]</f>
        <v>21</v>
      </c>
      <c r="AN69" s="12"/>
      <c r="AO69" s="12"/>
      <c r="AP69" s="12"/>
      <c r="AQ69" s="12"/>
      <c r="AR69" s="12"/>
      <c r="AS69" s="12"/>
    </row>
    <row r="70" spans="1:45" hidden="1">
      <c r="A70" s="20" t="s">
        <v>261</v>
      </c>
      <c r="B70" t="s">
        <v>262</v>
      </c>
      <c r="C70" t="s">
        <v>60</v>
      </c>
      <c r="D70" s="32">
        <v>6</v>
      </c>
      <c r="E70" s="32">
        <v>6</v>
      </c>
      <c r="F70" s="32"/>
      <c r="G70" s="32"/>
      <c r="H70" s="1"/>
      <c r="I70" s="32"/>
      <c r="J70" s="1"/>
      <c r="K70" s="1"/>
      <c r="L70" s="1"/>
      <c r="M70" s="1" t="s">
        <v>76</v>
      </c>
      <c r="N70" s="1" t="s">
        <v>61</v>
      </c>
      <c r="O70" s="1"/>
      <c r="P70" s="1">
        <v>120</v>
      </c>
      <c r="Q70" s="14">
        <v>1.75</v>
      </c>
      <c r="R70" s="14">
        <f>(SUM(D70:G70,I70))*Q70</f>
        <v>21</v>
      </c>
      <c r="S70" s="1">
        <v>5</v>
      </c>
      <c r="T70">
        <f>+Tableau1[[#This Row],[DELAIS (w)]]*7</f>
        <v>35</v>
      </c>
      <c r="U70">
        <v>240</v>
      </c>
      <c r="V70">
        <v>240</v>
      </c>
      <c r="W70">
        <f>(Tableau1[[#This Row],[DELAIS (w)]]+2)*(2.5*SUM(Tableau1[[#This Row],[086401 - Train mobile équipé pour DIPRO 3x]:[086885 - Ensemble Codeur - DIPRO 3x]]))</f>
        <v>210</v>
      </c>
      <c r="X70">
        <f>+Tableau1[[#This Row],[STOCK disponible]]/(SUM(Tableau1[[#This Row],[086401 - Train mobile équipé pour DIPRO 3x]:[086885 - Ensemble Codeur - DIPRO 3x]])*2.5)</f>
        <v>8</v>
      </c>
      <c r="Y70" s="9">
        <f ca="1">TODAY()+(Tableau1[[#This Row],[COUVERTURE W (capa 2,5M/S)]]*7)</f>
        <v>46275</v>
      </c>
      <c r="Z70" s="9" t="str">
        <f>IF(Tableau1[[#This Row],[STOCK disponible]]&lt;Tableau1[[#This Row],[SEUIL]],"A COMMANDER","")</f>
        <v/>
      </c>
      <c r="AD70" s="9" t="str">
        <f>IF(ISBLANK(Tableau1[[#This Row],[date de livraison réappro]]),"",(IF(Tableau1[[#This Row],[date de livraison réappro]]&lt;Tableau1[[#This Row],[date de rupture estimé]],"OK","RUPTURE")))</f>
        <v/>
      </c>
      <c r="AE70" s="16"/>
      <c r="AG70" s="44"/>
      <c r="AM70" s="12"/>
      <c r="AN70" s="12"/>
      <c r="AO70" s="12"/>
      <c r="AP70" s="12"/>
      <c r="AQ70" s="12"/>
      <c r="AR70" s="12">
        <f>Tableau1[[#This Row],[tot tarif ligne]]</f>
        <v>21</v>
      </c>
      <c r="AS70" s="12"/>
    </row>
    <row r="71" spans="1:45" hidden="1">
      <c r="A71" s="20" t="s">
        <v>263</v>
      </c>
      <c r="B71" t="s">
        <v>264</v>
      </c>
      <c r="C71" t="s">
        <v>60</v>
      </c>
      <c r="D71" s="29">
        <v>2</v>
      </c>
      <c r="E71" s="32"/>
      <c r="F71" s="32"/>
      <c r="G71" s="32"/>
      <c r="H71" s="1"/>
      <c r="I71" s="32"/>
      <c r="J71" s="1"/>
      <c r="K71" s="1"/>
      <c r="L71" s="1"/>
      <c r="M71" s="1"/>
      <c r="N71" s="1" t="s">
        <v>61</v>
      </c>
      <c r="O71" s="1"/>
      <c r="P71" s="1">
        <v>40</v>
      </c>
      <c r="Q71" s="14">
        <v>10.4</v>
      </c>
      <c r="R71" s="14">
        <f>(SUM(D71:G71,I71))*Q71</f>
        <v>20.8</v>
      </c>
      <c r="S71" s="1"/>
      <c r="T71">
        <f>+Tableau1[[#This Row],[DELAIS (w)]]*7</f>
        <v>0</v>
      </c>
      <c r="U71"/>
      <c r="W71">
        <f>(Tableau1[[#This Row],[DELAIS (w)]]+2)*(2*SUM(Tableau1[[#This Row],[086401 - Train mobile équipé pour DIPRO 3x]:[086885 - Ensemble Codeur - DIPRO 3x]]))</f>
        <v>8</v>
      </c>
      <c r="X71">
        <f>+Tableau1[[#This Row],[STOCK disponible]]/(SUM(Tableau1[[#This Row],[086401 - Train mobile équipé pour DIPRO 3x]:[086885 - Ensemble Codeur - DIPRO 3x]])*2.5)</f>
        <v>0</v>
      </c>
      <c r="Y71" s="9">
        <f ca="1">TODAY()+(Tableau1[[#This Row],[COUVERTURE W (capa 2,5M/S)]]*7)</f>
        <v>46219</v>
      </c>
      <c r="Z71" s="9"/>
      <c r="AD71" s="9" t="str">
        <f>IF(ISBLANK(Tableau1[[#This Row],[date de livraison réappro]]),"",(IF(Tableau1[[#This Row],[date de livraison réappro]]&lt;Tableau1[[#This Row],[date de rupture estimé]],"OK","RUPTURE")))</f>
        <v/>
      </c>
      <c r="AE71" s="16"/>
      <c r="AG71" s="44"/>
      <c r="AM71" s="12"/>
      <c r="AN71" s="12"/>
      <c r="AO71" s="12"/>
      <c r="AP71" s="12">
        <f>Tableau1[[#This Row],[tot tarif ligne]]</f>
        <v>20.8</v>
      </c>
      <c r="AQ71" s="12"/>
      <c r="AR71" s="12"/>
      <c r="AS71" s="12"/>
    </row>
    <row r="72" spans="1:45" hidden="1">
      <c r="A72" s="20" t="s">
        <v>265</v>
      </c>
      <c r="B72" t="s">
        <v>266</v>
      </c>
      <c r="C72" t="s">
        <v>60</v>
      </c>
      <c r="D72" s="32"/>
      <c r="E72" s="29">
        <v>1</v>
      </c>
      <c r="F72" s="32"/>
      <c r="G72" s="32"/>
      <c r="H72" s="1"/>
      <c r="I72" s="32"/>
      <c r="J72" s="1"/>
      <c r="K72" s="1"/>
      <c r="L72" s="1"/>
      <c r="M72" s="1"/>
      <c r="N72" s="1" t="s">
        <v>61</v>
      </c>
      <c r="O72" s="1"/>
      <c r="P72" s="1">
        <v>20</v>
      </c>
      <c r="Q72" s="14">
        <v>20.5</v>
      </c>
      <c r="R72" s="14">
        <f>(SUM(D72:G72,I72))*Q72</f>
        <v>20.5</v>
      </c>
      <c r="S72" s="1"/>
      <c r="T72">
        <f>+Tableau1[[#This Row],[DELAIS (w)]]*7</f>
        <v>0</v>
      </c>
      <c r="U72"/>
      <c r="W72">
        <f>(Tableau1[[#This Row],[DELAIS (w)]]+2)*(2*SUM(Tableau1[[#This Row],[086401 - Train mobile équipé pour DIPRO 3x]:[086885 - Ensemble Codeur - DIPRO 3x]]))</f>
        <v>4</v>
      </c>
      <c r="X72">
        <f>+Tableau1[[#This Row],[STOCK disponible]]/(SUM(Tableau1[[#This Row],[086401 - Train mobile équipé pour DIPRO 3x]:[086885 - Ensemble Codeur - DIPRO 3x]])*2.5)</f>
        <v>0</v>
      </c>
      <c r="Y72" s="9">
        <f ca="1">TODAY()+(Tableau1[[#This Row],[COUVERTURE W (capa 2,5M/S)]]*7)</f>
        <v>46219</v>
      </c>
      <c r="Z72" s="9"/>
      <c r="AD72" s="9" t="str">
        <f>IF(ISBLANK(Tableau1[[#This Row],[date de livraison réappro]]),"",(IF(Tableau1[[#This Row],[date de livraison réappro]]&lt;Tableau1[[#This Row],[date de rupture estimé]],"OK","RUPTURE")))</f>
        <v/>
      </c>
      <c r="AE72" s="16"/>
      <c r="AG72" s="44"/>
      <c r="AM72" s="12">
        <f>Tableau1[[#This Row],[tot tarif ligne]]</f>
        <v>20.5</v>
      </c>
      <c r="AN72" s="12"/>
      <c r="AO72" s="12"/>
      <c r="AP72" s="12"/>
      <c r="AQ72" s="12"/>
      <c r="AR72" s="12"/>
      <c r="AS72" s="12"/>
    </row>
    <row r="73" spans="1:45" hidden="1">
      <c r="A73" s="20" t="s">
        <v>267</v>
      </c>
      <c r="B73" s="1" t="s">
        <v>268</v>
      </c>
      <c r="C73" t="s">
        <v>60</v>
      </c>
      <c r="D73" s="32"/>
      <c r="E73" s="32">
        <v>1</v>
      </c>
      <c r="F73" s="32"/>
      <c r="G73" s="32"/>
      <c r="H73" s="1"/>
      <c r="I73" s="32"/>
      <c r="J73" s="1"/>
      <c r="K73" s="1"/>
      <c r="L73" s="1"/>
      <c r="M73" s="1" t="s">
        <v>142</v>
      </c>
      <c r="N73" s="1" t="s">
        <v>67</v>
      </c>
      <c r="P73" s="1">
        <v>20</v>
      </c>
      <c r="Q73" s="14">
        <v>20.41</v>
      </c>
      <c r="R73" s="14">
        <f>(SUM(D73:G73,I73))*Q73</f>
        <v>20.41</v>
      </c>
      <c r="S73" s="1">
        <v>9</v>
      </c>
      <c r="T73">
        <f>+Tableau1[[#This Row],[DELAIS (w)]]*7</f>
        <v>63</v>
      </c>
      <c r="U73">
        <v>20</v>
      </c>
      <c r="V73">
        <v>20</v>
      </c>
      <c r="W73">
        <f>(Tableau1[[#This Row],[DELAIS (w)]]+2)*(2.5*SUM(Tableau1[[#This Row],[086401 - Train mobile équipé pour DIPRO 3x]:[086885 - Ensemble Codeur - DIPRO 3x]]))</f>
        <v>27.5</v>
      </c>
      <c r="X73">
        <f>+Tableau1[[#This Row],[STOCK disponible]]/(SUM(Tableau1[[#This Row],[086401 - Train mobile équipé pour DIPRO 3x]:[086885 - Ensemble Codeur - DIPRO 3x]])*2.5)</f>
        <v>8</v>
      </c>
      <c r="Y73" s="9">
        <f ca="1">TODAY()+(Tableau1[[#This Row],[COUVERTURE W (capa 2,5M/S)]]*7)</f>
        <v>46275</v>
      </c>
      <c r="Z73" s="9" t="str">
        <f>IF(Tableau1[[#This Row],[STOCK disponible]]&lt;Tableau1[[#This Row],[SEUIL]],"A COMMANDER","")</f>
        <v>A COMMANDER</v>
      </c>
      <c r="AD73" s="9" t="str">
        <f>IF(ISBLANK(Tableau1[[#This Row],[date de livraison réappro]]),"",(IF(Tableau1[[#This Row],[date de livraison réappro]]&lt;Tableau1[[#This Row],[date de rupture estimé]],"OK","RUPTURE")))</f>
        <v/>
      </c>
      <c r="AE73" s="17">
        <v>4</v>
      </c>
      <c r="AG73" s="44"/>
      <c r="AK73" s="6" t="s">
        <v>269</v>
      </c>
      <c r="AM73" s="12"/>
      <c r="AN73" s="12">
        <f>Tableau1[[#This Row],[tot tarif ligne]]</f>
        <v>20.41</v>
      </c>
      <c r="AO73" s="12"/>
      <c r="AP73" s="12"/>
      <c r="AQ73" s="12"/>
      <c r="AR73" s="12"/>
      <c r="AS73" s="12"/>
    </row>
    <row r="74" spans="1:45" hidden="1">
      <c r="A74" s="20" t="s">
        <v>270</v>
      </c>
      <c r="B74" s="4" t="s">
        <v>271</v>
      </c>
      <c r="C74" t="s">
        <v>60</v>
      </c>
      <c r="D74" s="32">
        <v>1</v>
      </c>
      <c r="E74" s="32"/>
      <c r="F74" s="32"/>
      <c r="G74" s="32"/>
      <c r="H74" s="1"/>
      <c r="I74" s="32"/>
      <c r="J74" s="1"/>
      <c r="K74" s="1"/>
      <c r="L74" s="1"/>
      <c r="M74" s="1" t="s">
        <v>142</v>
      </c>
      <c r="N74" s="1" t="s">
        <v>67</v>
      </c>
      <c r="P74" s="1">
        <v>20</v>
      </c>
      <c r="Q74" s="14">
        <v>20.41</v>
      </c>
      <c r="R74" s="14">
        <f>(SUM(D74:G74,I74))*Q74</f>
        <v>20.41</v>
      </c>
      <c r="S74" s="1">
        <v>9</v>
      </c>
      <c r="T74">
        <f>+Tableau1[[#This Row],[DELAIS (w)]]*7</f>
        <v>63</v>
      </c>
      <c r="U74">
        <v>20</v>
      </c>
      <c r="V74">
        <v>20</v>
      </c>
      <c r="W74">
        <f>(Tableau1[[#This Row],[DELAIS (w)]]+2)*(2.5*SUM(Tableau1[[#This Row],[086401 - Train mobile équipé pour DIPRO 3x]:[086885 - Ensemble Codeur - DIPRO 3x]]))</f>
        <v>27.5</v>
      </c>
      <c r="X74">
        <f>+Tableau1[[#This Row],[STOCK disponible]]/(SUM(Tableau1[[#This Row],[086401 - Train mobile équipé pour DIPRO 3x]:[086885 - Ensemble Codeur - DIPRO 3x]])*2.5)</f>
        <v>8</v>
      </c>
      <c r="Y74" s="9">
        <f ca="1">TODAY()+(Tableau1[[#This Row],[COUVERTURE W (capa 2,5M/S)]]*7)</f>
        <v>46275</v>
      </c>
      <c r="Z74" s="9" t="str">
        <f>IF(Tableau1[[#This Row],[STOCK disponible]]&lt;Tableau1[[#This Row],[SEUIL]],"A COMMANDER","")</f>
        <v>A COMMANDER</v>
      </c>
      <c r="AD74" s="9" t="str">
        <f>IF(ISBLANK(Tableau1[[#This Row],[date de livraison réappro]]),"",(IF(Tableau1[[#This Row],[date de livraison réappro]]&lt;Tableau1[[#This Row],[date de rupture estimé]],"OK","RUPTURE")))</f>
        <v/>
      </c>
      <c r="AE74" s="17">
        <v>4</v>
      </c>
      <c r="AG74" s="44"/>
      <c r="AM74" s="12"/>
      <c r="AN74" s="12">
        <f>Tableau1[[#This Row],[tot tarif ligne]]</f>
        <v>20.41</v>
      </c>
      <c r="AO74" s="12"/>
      <c r="AP74" s="12"/>
      <c r="AQ74" s="12"/>
      <c r="AR74" s="12"/>
      <c r="AS74" s="12"/>
    </row>
    <row r="75" spans="1:45" hidden="1">
      <c r="A75" s="20" t="s">
        <v>272</v>
      </c>
      <c r="B75" t="s">
        <v>273</v>
      </c>
      <c r="C75" t="s">
        <v>60</v>
      </c>
      <c r="D75" s="32"/>
      <c r="E75" s="29">
        <v>1</v>
      </c>
      <c r="F75" s="32"/>
      <c r="G75" s="32"/>
      <c r="H75" s="1"/>
      <c r="I75" s="32"/>
      <c r="J75" s="1"/>
      <c r="K75" s="1"/>
      <c r="L75" s="1"/>
      <c r="M75" s="1"/>
      <c r="N75" s="1" t="s">
        <v>61</v>
      </c>
      <c r="O75" s="1"/>
      <c r="P75" s="1">
        <v>20</v>
      </c>
      <c r="Q75" s="14">
        <v>20</v>
      </c>
      <c r="R75" s="14">
        <f>(SUM(D75:G75,I75))*Q75</f>
        <v>20</v>
      </c>
      <c r="S75" s="1"/>
      <c r="T75">
        <f>+Tableau1[[#This Row],[DELAIS (w)]]*7</f>
        <v>0</v>
      </c>
      <c r="U75"/>
      <c r="W75">
        <f>(Tableau1[[#This Row],[DELAIS (w)]]+2)*(2*SUM(Tableau1[[#This Row],[086401 - Train mobile équipé pour DIPRO 3x]:[086885 - Ensemble Codeur - DIPRO 3x]]))</f>
        <v>4</v>
      </c>
      <c r="X75">
        <f>+Tableau1[[#This Row],[STOCK disponible]]/(SUM(Tableau1[[#This Row],[086401 - Train mobile équipé pour DIPRO 3x]:[086885 - Ensemble Codeur - DIPRO 3x]])*2.5)</f>
        <v>0</v>
      </c>
      <c r="Y75" s="9">
        <f ca="1">TODAY()+(Tableau1[[#This Row],[COUVERTURE W (capa 2,5M/S)]]*7)</f>
        <v>46219</v>
      </c>
      <c r="Z75" s="9"/>
      <c r="AD75" s="9" t="str">
        <f>IF(ISBLANK(Tableau1[[#This Row],[date de livraison réappro]]),"",(IF(Tableau1[[#This Row],[date de livraison réappro]]&lt;Tableau1[[#This Row],[date de rupture estimé]],"OK","RUPTURE")))</f>
        <v/>
      </c>
      <c r="AE75" s="16"/>
      <c r="AG75" s="44"/>
      <c r="AM75" s="12">
        <f>Tableau1[[#This Row],[tot tarif ligne]]</f>
        <v>20</v>
      </c>
      <c r="AN75" s="12"/>
      <c r="AO75" s="12"/>
      <c r="AP75" s="12"/>
      <c r="AQ75" s="12"/>
      <c r="AR75" s="12"/>
      <c r="AS75" s="12"/>
    </row>
    <row r="76" spans="1:45" hidden="1">
      <c r="A76" s="21" t="s">
        <v>274</v>
      </c>
      <c r="B76" s="1" t="s">
        <v>275</v>
      </c>
      <c r="C76" t="s">
        <v>60</v>
      </c>
      <c r="D76" s="32">
        <v>7</v>
      </c>
      <c r="E76" s="32">
        <v>7</v>
      </c>
      <c r="F76" s="32"/>
      <c r="G76" s="32"/>
      <c r="H76" s="1"/>
      <c r="I76" s="32"/>
      <c r="J76" s="1"/>
      <c r="K76" s="1"/>
      <c r="L76" s="1"/>
      <c r="M76" s="1" t="s">
        <v>76</v>
      </c>
      <c r="N76" s="1" t="s">
        <v>61</v>
      </c>
      <c r="O76" s="1"/>
      <c r="P76" s="1">
        <v>140</v>
      </c>
      <c r="Q76" s="14">
        <v>1.4</v>
      </c>
      <c r="R76" s="14">
        <f>(SUM(D76:G76,I76))*Q76</f>
        <v>19.599999999999998</v>
      </c>
      <c r="S76" s="1">
        <v>5</v>
      </c>
      <c r="T76">
        <f>+Tableau1[[#This Row],[DELAIS (w)]]*7</f>
        <v>35</v>
      </c>
      <c r="U76">
        <v>294</v>
      </c>
      <c r="V76">
        <v>294</v>
      </c>
      <c r="W76">
        <f>(Tableau1[[#This Row],[DELAIS (w)]]+2)*(2.5*SUM(Tableau1[[#This Row],[086401 - Train mobile équipé pour DIPRO 3x]:[086885 - Ensemble Codeur - DIPRO 3x]]))</f>
        <v>245</v>
      </c>
      <c r="X76">
        <f>+Tableau1[[#This Row],[STOCK disponible]]/(SUM(Tableau1[[#This Row],[086401 - Train mobile équipé pour DIPRO 3x]:[086885 - Ensemble Codeur - DIPRO 3x]])*2.5)</f>
        <v>8.4</v>
      </c>
      <c r="Y76" s="9">
        <f ca="1">TODAY()+(Tableau1[[#This Row],[COUVERTURE W (capa 2,5M/S)]]*7)</f>
        <v>46277.8</v>
      </c>
      <c r="Z76" s="9" t="str">
        <f>IF(Tableau1[[#This Row],[STOCK disponible]]&lt;Tableau1[[#This Row],[SEUIL]],"A COMMANDER","")</f>
        <v/>
      </c>
      <c r="AD76" s="9" t="str">
        <f>IF(ISBLANK(Tableau1[[#This Row],[date de livraison réappro]]),"",(IF(Tableau1[[#This Row],[date de livraison réappro]]&lt;Tableau1[[#This Row],[date de rupture estimé]],"OK","RUPTURE")))</f>
        <v/>
      </c>
      <c r="AE76" s="16"/>
      <c r="AG76" s="44"/>
      <c r="AM76" s="12"/>
      <c r="AN76" s="12"/>
      <c r="AO76" s="12"/>
      <c r="AP76" s="12"/>
      <c r="AQ76" s="12"/>
      <c r="AR76" s="12"/>
      <c r="AS76" s="12">
        <f>Tableau1[[#This Row],[tot tarif ligne]]</f>
        <v>19.599999999999998</v>
      </c>
    </row>
    <row r="77" spans="1:45" hidden="1">
      <c r="A77" s="20" t="s">
        <v>276</v>
      </c>
      <c r="B77" t="s">
        <v>277</v>
      </c>
      <c r="C77" t="s">
        <v>60</v>
      </c>
      <c r="D77" s="32"/>
      <c r="E77" s="29">
        <v>2</v>
      </c>
      <c r="F77" s="32"/>
      <c r="G77" s="32"/>
      <c r="H77" s="1"/>
      <c r="I77" s="32"/>
      <c r="J77" s="1"/>
      <c r="K77" s="1"/>
      <c r="L77" s="1"/>
      <c r="M77" s="1"/>
      <c r="N77" s="1" t="s">
        <v>61</v>
      </c>
      <c r="O77" s="1"/>
      <c r="P77" s="1">
        <v>40</v>
      </c>
      <c r="Q77" s="14">
        <v>9.4</v>
      </c>
      <c r="R77" s="14">
        <f>(SUM(D77:G77,I77))*Q77</f>
        <v>18.8</v>
      </c>
      <c r="S77" s="1"/>
      <c r="T77">
        <f>+Tableau1[[#This Row],[DELAIS (w)]]*7</f>
        <v>0</v>
      </c>
      <c r="U77"/>
      <c r="W77">
        <f>(Tableau1[[#This Row],[DELAIS (w)]]+2)*(2*SUM(Tableau1[[#This Row],[086401 - Train mobile équipé pour DIPRO 3x]:[086885 - Ensemble Codeur - DIPRO 3x]]))</f>
        <v>8</v>
      </c>
      <c r="X77">
        <f>+Tableau1[[#This Row],[STOCK disponible]]/(SUM(Tableau1[[#This Row],[086401 - Train mobile équipé pour DIPRO 3x]:[086885 - Ensemble Codeur - DIPRO 3x]])*2.5)</f>
        <v>0</v>
      </c>
      <c r="Y77" s="9">
        <f ca="1">TODAY()+(Tableau1[[#This Row],[COUVERTURE W (capa 2,5M/S)]]*7)</f>
        <v>46219</v>
      </c>
      <c r="Z77" s="9"/>
      <c r="AD77" s="9" t="str">
        <f>IF(ISBLANK(Tableau1[[#This Row],[date de livraison réappro]]),"",(IF(Tableau1[[#This Row],[date de livraison réappro]]&lt;Tableau1[[#This Row],[date de rupture estimé]],"OK","RUPTURE")))</f>
        <v/>
      </c>
      <c r="AE77" s="16"/>
      <c r="AG77" s="44"/>
      <c r="AM77" s="12"/>
      <c r="AN77" s="12"/>
      <c r="AO77" s="12"/>
      <c r="AP77" s="12">
        <f>Tableau1[[#This Row],[tot tarif ligne]]</f>
        <v>18.8</v>
      </c>
      <c r="AQ77" s="12"/>
      <c r="AR77" s="12"/>
      <c r="AS77" s="12"/>
    </row>
    <row r="78" spans="1:45" hidden="1">
      <c r="A78" s="20" t="s">
        <v>278</v>
      </c>
      <c r="B78" t="s">
        <v>279</v>
      </c>
      <c r="C78" t="s">
        <v>60</v>
      </c>
      <c r="D78" s="29">
        <v>2</v>
      </c>
      <c r="E78" s="32"/>
      <c r="F78" s="32"/>
      <c r="G78" s="32"/>
      <c r="H78" s="1"/>
      <c r="I78" s="32"/>
      <c r="J78" s="1"/>
      <c r="K78" s="1"/>
      <c r="L78" s="1"/>
      <c r="M78" s="1"/>
      <c r="N78" s="1" t="s">
        <v>61</v>
      </c>
      <c r="O78" s="1"/>
      <c r="P78" s="1">
        <v>40</v>
      </c>
      <c r="Q78" s="14">
        <v>9.3000000000000007</v>
      </c>
      <c r="R78" s="14">
        <f>(SUM(D78:G78,I78))*Q78</f>
        <v>18.600000000000001</v>
      </c>
      <c r="S78" s="1"/>
      <c r="T78">
        <f>+Tableau1[[#This Row],[DELAIS (w)]]*7</f>
        <v>0</v>
      </c>
      <c r="U78"/>
      <c r="W78">
        <f>(Tableau1[[#This Row],[DELAIS (w)]]+2)*(2*SUM(Tableau1[[#This Row],[086401 - Train mobile équipé pour DIPRO 3x]:[086885 - Ensemble Codeur - DIPRO 3x]]))</f>
        <v>8</v>
      </c>
      <c r="X78">
        <f>+Tableau1[[#This Row],[STOCK disponible]]/(SUM(Tableau1[[#This Row],[086401 - Train mobile équipé pour DIPRO 3x]:[086885 - Ensemble Codeur - DIPRO 3x]])*2.5)</f>
        <v>0</v>
      </c>
      <c r="Y78" s="9">
        <f ca="1">TODAY()+(Tableau1[[#This Row],[COUVERTURE W (capa 2,5M/S)]]*7)</f>
        <v>46219</v>
      </c>
      <c r="Z78" s="9"/>
      <c r="AD78" s="9" t="str">
        <f>IF(ISBLANK(Tableau1[[#This Row],[date de livraison réappro]]),"",(IF(Tableau1[[#This Row],[date de livraison réappro]]&lt;Tableau1[[#This Row],[date de rupture estimé]],"OK","RUPTURE")))</f>
        <v/>
      </c>
      <c r="AE78" s="16"/>
      <c r="AG78" s="44"/>
      <c r="AM78" s="12"/>
      <c r="AN78" s="12"/>
      <c r="AO78" s="12"/>
      <c r="AP78" s="12">
        <f>Tableau1[[#This Row],[tot tarif ligne]]</f>
        <v>18.600000000000001</v>
      </c>
      <c r="AQ78" s="12"/>
      <c r="AR78" s="12"/>
      <c r="AS78" s="12"/>
    </row>
    <row r="79" spans="1:45" hidden="1">
      <c r="A79" s="21" t="s">
        <v>280</v>
      </c>
      <c r="B79" s="1" t="s">
        <v>281</v>
      </c>
      <c r="C79" s="1" t="s">
        <v>60</v>
      </c>
      <c r="D79" s="32">
        <v>7</v>
      </c>
      <c r="E79" s="32">
        <v>7</v>
      </c>
      <c r="F79" s="32"/>
      <c r="G79" s="32"/>
      <c r="H79" s="1"/>
      <c r="I79" s="32"/>
      <c r="J79" s="1"/>
      <c r="K79" s="1"/>
      <c r="L79" s="1"/>
      <c r="M79" s="1" t="s">
        <v>76</v>
      </c>
      <c r="N79" s="1" t="s">
        <v>61</v>
      </c>
      <c r="O79" s="1"/>
      <c r="P79" s="1">
        <v>280</v>
      </c>
      <c r="Q79" s="14">
        <v>1.2</v>
      </c>
      <c r="R79" s="14">
        <f>(SUM(D79:G79,I79))*Q79</f>
        <v>16.8</v>
      </c>
      <c r="S79" s="1">
        <v>5</v>
      </c>
      <c r="T79">
        <f>+Tableau1[[#This Row],[DELAIS (w)]]*7</f>
        <v>35</v>
      </c>
      <c r="U79">
        <v>266</v>
      </c>
      <c r="V79">
        <v>266</v>
      </c>
      <c r="W79">
        <f>(Tableau1[[#This Row],[DELAIS (w)]]+2)*(2.5*SUM(Tableau1[[#This Row],[086401 - Train mobile équipé pour DIPRO 3x]:[086885 - Ensemble Codeur - DIPRO 3x]]))</f>
        <v>245</v>
      </c>
      <c r="X79">
        <f>+Tableau1[[#This Row],[STOCK disponible]]/(SUM(Tableau1[[#This Row],[086401 - Train mobile équipé pour DIPRO 3x]:[086885 - Ensemble Codeur - DIPRO 3x]])*2.5)</f>
        <v>7.6</v>
      </c>
      <c r="Y79" s="9">
        <f ca="1">TODAY()+(Tableau1[[#This Row],[COUVERTURE W (capa 2,5M/S)]]*7)</f>
        <v>46272.2</v>
      </c>
      <c r="Z79" s="9" t="str">
        <f>IF(Tableau1[[#This Row],[STOCK disponible]]&lt;Tableau1[[#This Row],[SEUIL]],"A COMMANDER","")</f>
        <v/>
      </c>
      <c r="AD79" s="9" t="str">
        <f>IF(ISBLANK(Tableau1[[#This Row],[date de livraison réappro]]),"",(IF(Tableau1[[#This Row],[date de livraison réappro]]&lt;Tableau1[[#This Row],[date de rupture estimé]],"OK","RUPTURE")))</f>
        <v/>
      </c>
      <c r="AE79" s="16"/>
      <c r="AG79" s="44"/>
      <c r="AM79" s="12"/>
      <c r="AN79" s="12"/>
      <c r="AO79" s="12"/>
      <c r="AP79" s="12"/>
      <c r="AQ79" s="12"/>
      <c r="AR79" s="12">
        <f>Tableau1[[#This Row],[tot tarif ligne]]</f>
        <v>16.8</v>
      </c>
      <c r="AS79" s="12"/>
    </row>
    <row r="80" spans="1:45" hidden="1">
      <c r="A80" s="20" t="s">
        <v>282</v>
      </c>
      <c r="B80" t="s">
        <v>283</v>
      </c>
      <c r="C80" s="1" t="s">
        <v>60</v>
      </c>
      <c r="D80" s="32"/>
      <c r="E80" s="29">
        <v>1</v>
      </c>
      <c r="F80" s="32"/>
      <c r="G80" s="32"/>
      <c r="H80" s="1"/>
      <c r="I80" s="32"/>
      <c r="J80" s="1"/>
      <c r="K80" s="1"/>
      <c r="L80" s="1"/>
      <c r="M80" s="1"/>
      <c r="N80" s="1" t="s">
        <v>61</v>
      </c>
      <c r="O80" s="1"/>
      <c r="P80" s="1">
        <v>20</v>
      </c>
      <c r="Q80" s="14">
        <v>16.5</v>
      </c>
      <c r="R80" s="14">
        <f>(SUM(D80:G80,I80))*Q80</f>
        <v>16.5</v>
      </c>
      <c r="S80" s="1"/>
      <c r="T80">
        <f>+Tableau1[[#This Row],[DELAIS (w)]]*7</f>
        <v>0</v>
      </c>
      <c r="U80">
        <v>19</v>
      </c>
      <c r="V80">
        <v>19</v>
      </c>
      <c r="W80">
        <f>(Tableau1[[#This Row],[DELAIS (w)]]+2)*(2.5*SUM(Tableau1[[#This Row],[086401 - Train mobile équipé pour DIPRO 3x]:[086885 - Ensemble Codeur - DIPRO 3x]]))</f>
        <v>5</v>
      </c>
      <c r="X80">
        <f>+Tableau1[[#This Row],[STOCK disponible]]/(SUM(Tableau1[[#This Row],[086401 - Train mobile équipé pour DIPRO 3x]:[086885 - Ensemble Codeur - DIPRO 3x]])*2.5)</f>
        <v>7.6</v>
      </c>
      <c r="Y80" s="9">
        <f ca="1">TODAY()+(Tableau1[[#This Row],[COUVERTURE W (capa 2,5M/S)]]*7)</f>
        <v>46272.2</v>
      </c>
      <c r="Z80" s="9" t="str">
        <f>IF(Tableau1[[#This Row],[STOCK disponible]]&lt;Tableau1[[#This Row],[SEUIL]],"A COMMANDER","")</f>
        <v/>
      </c>
      <c r="AD80" s="9" t="str">
        <f>IF(ISBLANK(Tableau1[[#This Row],[date de livraison réappro]]),"",(IF(Tableau1[[#This Row],[date de livraison réappro]]&lt;Tableau1[[#This Row],[date de rupture estimé]],"OK","RUPTURE")))</f>
        <v/>
      </c>
      <c r="AE80" s="16"/>
      <c r="AG80" s="44"/>
      <c r="AM80" s="12"/>
      <c r="AN80" s="12"/>
      <c r="AO80" s="12"/>
      <c r="AP80" s="12">
        <f>Tableau1[[#This Row],[tot tarif ligne]]</f>
        <v>16.5</v>
      </c>
      <c r="AQ80" s="12"/>
      <c r="AR80" s="12"/>
      <c r="AS80" s="12"/>
    </row>
    <row r="81" spans="1:45" hidden="1">
      <c r="A81" s="20" t="s">
        <v>284</v>
      </c>
      <c r="B81" t="s">
        <v>285</v>
      </c>
      <c r="C81" s="1" t="s">
        <v>60</v>
      </c>
      <c r="D81" s="32"/>
      <c r="E81" s="29">
        <v>1</v>
      </c>
      <c r="F81" s="32"/>
      <c r="G81" s="32"/>
      <c r="H81" s="1"/>
      <c r="I81" s="32"/>
      <c r="J81" s="1"/>
      <c r="K81" s="1"/>
      <c r="L81" s="1"/>
      <c r="M81" s="1"/>
      <c r="N81" s="1" t="s">
        <v>61</v>
      </c>
      <c r="O81" s="1"/>
      <c r="P81" s="1">
        <v>20</v>
      </c>
      <c r="Q81" s="14">
        <v>16.5</v>
      </c>
      <c r="R81" s="14">
        <f>(SUM(D81:G81,I81))*Q81</f>
        <v>16.5</v>
      </c>
      <c r="S81" s="1"/>
      <c r="T81">
        <f>+Tableau1[[#This Row],[DELAIS (w)]]*7</f>
        <v>0</v>
      </c>
      <c r="U81">
        <v>19</v>
      </c>
      <c r="V81">
        <v>19</v>
      </c>
      <c r="W81">
        <f>(Tableau1[[#This Row],[DELAIS (w)]]+2)*(2.5*SUM(Tableau1[[#This Row],[086401 - Train mobile équipé pour DIPRO 3x]:[086885 - Ensemble Codeur - DIPRO 3x]]))</f>
        <v>5</v>
      </c>
      <c r="X81">
        <f>+Tableau1[[#This Row],[STOCK disponible]]/(SUM(Tableau1[[#This Row],[086401 - Train mobile équipé pour DIPRO 3x]:[086885 - Ensemble Codeur - DIPRO 3x]])*2.5)</f>
        <v>7.6</v>
      </c>
      <c r="Y81" s="9">
        <f ca="1">TODAY()+(Tableau1[[#This Row],[COUVERTURE W (capa 2,5M/S)]]*7)</f>
        <v>46272.2</v>
      </c>
      <c r="Z81" s="9" t="str">
        <f>IF(Tableau1[[#This Row],[STOCK disponible]]&lt;Tableau1[[#This Row],[SEUIL]],"A COMMANDER","")</f>
        <v/>
      </c>
      <c r="AD81" s="9" t="str">
        <f>IF(ISBLANK(Tableau1[[#This Row],[date de livraison réappro]]),"",(IF(Tableau1[[#This Row],[date de livraison réappro]]&lt;Tableau1[[#This Row],[date de rupture estimé]],"OK","RUPTURE")))</f>
        <v/>
      </c>
      <c r="AE81" s="16"/>
      <c r="AG81" s="44"/>
      <c r="AM81" s="12"/>
      <c r="AN81" s="12"/>
      <c r="AO81" s="12"/>
      <c r="AP81" s="12">
        <f>Tableau1[[#This Row],[tot tarif ligne]]</f>
        <v>16.5</v>
      </c>
      <c r="AQ81" s="12"/>
      <c r="AR81" s="12"/>
      <c r="AS81" s="12"/>
    </row>
    <row r="82" spans="1:45" hidden="1">
      <c r="A82" s="20" t="s">
        <v>286</v>
      </c>
      <c r="B82" t="s">
        <v>287</v>
      </c>
      <c r="C82" s="1" t="s">
        <v>60</v>
      </c>
      <c r="D82" s="32"/>
      <c r="E82" s="29">
        <v>1</v>
      </c>
      <c r="F82" s="32"/>
      <c r="G82" s="32"/>
      <c r="H82" s="1"/>
      <c r="I82" s="32"/>
      <c r="J82" s="1"/>
      <c r="K82" s="1"/>
      <c r="L82" s="1"/>
      <c r="M82" s="1"/>
      <c r="N82" s="1" t="s">
        <v>61</v>
      </c>
      <c r="O82" s="1"/>
      <c r="P82" s="1">
        <v>20</v>
      </c>
      <c r="Q82" s="14">
        <v>16.5</v>
      </c>
      <c r="R82" s="14">
        <f>(SUM(D82:G82,I82))*Q82</f>
        <v>16.5</v>
      </c>
      <c r="S82" s="1"/>
      <c r="T82">
        <f>+Tableau1[[#This Row],[DELAIS (w)]]*7</f>
        <v>0</v>
      </c>
      <c r="U82">
        <v>19</v>
      </c>
      <c r="V82">
        <v>19</v>
      </c>
      <c r="W82">
        <f>(Tableau1[[#This Row],[DELAIS (w)]]+2)*(2.5*SUM(Tableau1[[#This Row],[086401 - Train mobile équipé pour DIPRO 3x]:[086885 - Ensemble Codeur - DIPRO 3x]]))</f>
        <v>5</v>
      </c>
      <c r="X82">
        <f>+Tableau1[[#This Row],[STOCK disponible]]/(SUM(Tableau1[[#This Row],[086401 - Train mobile équipé pour DIPRO 3x]:[086885 - Ensemble Codeur - DIPRO 3x]])*2.5)</f>
        <v>7.6</v>
      </c>
      <c r="Y82" s="9">
        <f ca="1">TODAY()+(Tableau1[[#This Row],[COUVERTURE W (capa 2,5M/S)]]*7)</f>
        <v>46272.2</v>
      </c>
      <c r="Z82" s="9" t="str">
        <f>IF(Tableau1[[#This Row],[STOCK disponible]]&lt;Tableau1[[#This Row],[SEUIL]],"A COMMANDER","")</f>
        <v/>
      </c>
      <c r="AD82" s="9" t="str">
        <f>IF(ISBLANK(Tableau1[[#This Row],[date de livraison réappro]]),"",(IF(Tableau1[[#This Row],[date de livraison réappro]]&lt;Tableau1[[#This Row],[date de rupture estimé]],"OK","RUPTURE")))</f>
        <v/>
      </c>
      <c r="AE82" s="16"/>
      <c r="AG82" s="44"/>
      <c r="AM82" s="12"/>
      <c r="AN82" s="12"/>
      <c r="AO82" s="12"/>
      <c r="AP82" s="12">
        <f>Tableau1[[#This Row],[tot tarif ligne]]</f>
        <v>16.5</v>
      </c>
      <c r="AQ82" s="12"/>
      <c r="AR82" s="12"/>
      <c r="AS82" s="12"/>
    </row>
    <row r="83" spans="1:45" hidden="1">
      <c r="A83" s="20" t="s">
        <v>288</v>
      </c>
      <c r="B83" t="s">
        <v>289</v>
      </c>
      <c r="C83" s="1" t="s">
        <v>60</v>
      </c>
      <c r="D83" s="32"/>
      <c r="E83" s="29">
        <v>1</v>
      </c>
      <c r="F83" s="32"/>
      <c r="G83" s="32"/>
      <c r="H83" s="1"/>
      <c r="I83" s="32"/>
      <c r="J83" s="1"/>
      <c r="K83" s="1"/>
      <c r="L83" s="1"/>
      <c r="M83" s="1"/>
      <c r="N83" s="1" t="s">
        <v>61</v>
      </c>
      <c r="O83" s="1"/>
      <c r="P83" s="1">
        <v>20</v>
      </c>
      <c r="Q83" s="14">
        <v>16.5</v>
      </c>
      <c r="R83" s="14">
        <f>(SUM(D83:G83,I83))*Q83</f>
        <v>16.5</v>
      </c>
      <c r="S83" s="1"/>
      <c r="T83">
        <f>+Tableau1[[#This Row],[DELAIS (w)]]*7</f>
        <v>0</v>
      </c>
      <c r="U83">
        <v>19</v>
      </c>
      <c r="V83">
        <v>19</v>
      </c>
      <c r="W83">
        <f>(Tableau1[[#This Row],[DELAIS (w)]]+2)*(2.5*SUM(Tableau1[[#This Row],[086401 - Train mobile équipé pour DIPRO 3x]:[086885 - Ensemble Codeur - DIPRO 3x]]))</f>
        <v>5</v>
      </c>
      <c r="X83">
        <f>+Tableau1[[#This Row],[STOCK disponible]]/(SUM(Tableau1[[#This Row],[086401 - Train mobile équipé pour DIPRO 3x]:[086885 - Ensemble Codeur - DIPRO 3x]])*2.5)</f>
        <v>7.6</v>
      </c>
      <c r="Y83" s="9">
        <f ca="1">TODAY()+(Tableau1[[#This Row],[COUVERTURE W (capa 2,5M/S)]]*7)</f>
        <v>46272.2</v>
      </c>
      <c r="Z83" s="9" t="str">
        <f>IF(Tableau1[[#This Row],[STOCK disponible]]&lt;Tableau1[[#This Row],[SEUIL]],"A COMMANDER","")</f>
        <v/>
      </c>
      <c r="AD83" s="9" t="str">
        <f>IF(ISBLANK(Tableau1[[#This Row],[date de livraison réappro]]),"",(IF(Tableau1[[#This Row],[date de livraison réappro]]&lt;Tableau1[[#This Row],[date de rupture estimé]],"OK","RUPTURE")))</f>
        <v/>
      </c>
      <c r="AE83" s="16"/>
      <c r="AG83" s="44"/>
      <c r="AM83" s="12"/>
      <c r="AN83" s="12"/>
      <c r="AO83" s="12"/>
      <c r="AP83" s="12">
        <f>Tableau1[[#This Row],[tot tarif ligne]]</f>
        <v>16.5</v>
      </c>
      <c r="AQ83" s="12"/>
      <c r="AR83" s="12"/>
      <c r="AS83" s="12"/>
    </row>
    <row r="84" spans="1:45" hidden="1">
      <c r="A84" s="20" t="s">
        <v>290</v>
      </c>
      <c r="B84" t="s">
        <v>291</v>
      </c>
      <c r="C84" s="1" t="s">
        <v>60</v>
      </c>
      <c r="D84" s="32"/>
      <c r="E84" s="29">
        <v>1</v>
      </c>
      <c r="F84" s="32"/>
      <c r="G84" s="32"/>
      <c r="H84" s="1"/>
      <c r="I84" s="32"/>
      <c r="J84" s="1"/>
      <c r="K84" s="1"/>
      <c r="L84" s="1"/>
      <c r="M84" s="1"/>
      <c r="N84" s="1" t="s">
        <v>61</v>
      </c>
      <c r="O84" s="1"/>
      <c r="P84" s="1">
        <v>20</v>
      </c>
      <c r="Q84" s="14">
        <v>16.5</v>
      </c>
      <c r="R84" s="14">
        <f>(SUM(D84:G84,I84))*Q84</f>
        <v>16.5</v>
      </c>
      <c r="S84" s="1"/>
      <c r="T84">
        <f>+Tableau1[[#This Row],[DELAIS (w)]]*7</f>
        <v>0</v>
      </c>
      <c r="U84">
        <v>19</v>
      </c>
      <c r="V84">
        <v>19</v>
      </c>
      <c r="W84">
        <f>(Tableau1[[#This Row],[DELAIS (w)]]+2)*(2.5*SUM(Tableau1[[#This Row],[086401 - Train mobile équipé pour DIPRO 3x]:[086885 - Ensemble Codeur - DIPRO 3x]]))</f>
        <v>5</v>
      </c>
      <c r="X84">
        <f>+Tableau1[[#This Row],[STOCK disponible]]/(SUM(Tableau1[[#This Row],[086401 - Train mobile équipé pour DIPRO 3x]:[086885 - Ensemble Codeur - DIPRO 3x]])*2.5)</f>
        <v>7.6</v>
      </c>
      <c r="Y84" s="9">
        <f ca="1">TODAY()+(Tableau1[[#This Row],[COUVERTURE W (capa 2,5M/S)]]*7)</f>
        <v>46272.2</v>
      </c>
      <c r="Z84" s="9" t="str">
        <f>IF(Tableau1[[#This Row],[STOCK disponible]]&lt;Tableau1[[#This Row],[SEUIL]],"A COMMANDER","")</f>
        <v/>
      </c>
      <c r="AD84" s="9" t="str">
        <f>IF(ISBLANK(Tableau1[[#This Row],[date de livraison réappro]]),"",(IF(Tableau1[[#This Row],[date de livraison réappro]]&lt;Tableau1[[#This Row],[date de rupture estimé]],"OK","RUPTURE")))</f>
        <v/>
      </c>
      <c r="AE84" s="16"/>
      <c r="AG84" s="44"/>
      <c r="AM84" s="12"/>
      <c r="AN84" s="12"/>
      <c r="AO84" s="12"/>
      <c r="AP84" s="12">
        <f>Tableau1[[#This Row],[tot tarif ligne]]</f>
        <v>16.5</v>
      </c>
      <c r="AQ84" s="12"/>
      <c r="AR84" s="12"/>
      <c r="AS84" s="12"/>
    </row>
    <row r="85" spans="1:45" hidden="1">
      <c r="A85" s="20" t="s">
        <v>292</v>
      </c>
      <c r="B85" t="s">
        <v>293</v>
      </c>
      <c r="C85" s="1" t="s">
        <v>60</v>
      </c>
      <c r="D85" s="32"/>
      <c r="E85" s="29">
        <v>1</v>
      </c>
      <c r="F85" s="32"/>
      <c r="G85" s="32"/>
      <c r="H85" s="1"/>
      <c r="I85" s="32"/>
      <c r="J85" s="1"/>
      <c r="K85" s="1"/>
      <c r="L85" s="1"/>
      <c r="M85" s="1"/>
      <c r="N85" s="1" t="s">
        <v>61</v>
      </c>
      <c r="O85" s="1"/>
      <c r="P85" s="1">
        <v>20</v>
      </c>
      <c r="Q85" s="14">
        <v>16.5</v>
      </c>
      <c r="R85" s="14">
        <f>(SUM(D85:G85,I85))*Q85</f>
        <v>16.5</v>
      </c>
      <c r="S85" s="1"/>
      <c r="T85">
        <f>+Tableau1[[#This Row],[DELAIS (w)]]*7</f>
        <v>0</v>
      </c>
      <c r="U85">
        <v>19</v>
      </c>
      <c r="V85">
        <v>19</v>
      </c>
      <c r="W85">
        <f>(Tableau1[[#This Row],[DELAIS (w)]]+2)*(2.5*SUM(Tableau1[[#This Row],[086401 - Train mobile équipé pour DIPRO 3x]:[086885 - Ensemble Codeur - DIPRO 3x]]))</f>
        <v>5</v>
      </c>
      <c r="X85">
        <f>+Tableau1[[#This Row],[STOCK disponible]]/(SUM(Tableau1[[#This Row],[086401 - Train mobile équipé pour DIPRO 3x]:[086885 - Ensemble Codeur - DIPRO 3x]])*2.5)</f>
        <v>7.6</v>
      </c>
      <c r="Y85" s="9">
        <f ca="1">TODAY()+(Tableau1[[#This Row],[COUVERTURE W (capa 2,5M/S)]]*7)</f>
        <v>46272.2</v>
      </c>
      <c r="Z85" s="9" t="str">
        <f>IF(Tableau1[[#This Row],[STOCK disponible]]&lt;Tableau1[[#This Row],[SEUIL]],"A COMMANDER","")</f>
        <v/>
      </c>
      <c r="AD85" s="9" t="str">
        <f>IF(ISBLANK(Tableau1[[#This Row],[date de livraison réappro]]),"",(IF(Tableau1[[#This Row],[date de livraison réappro]]&lt;Tableau1[[#This Row],[date de rupture estimé]],"OK","RUPTURE")))</f>
        <v/>
      </c>
      <c r="AE85" s="16"/>
      <c r="AG85" s="44"/>
      <c r="AM85" s="12"/>
      <c r="AN85" s="12"/>
      <c r="AO85" s="12"/>
      <c r="AP85" s="12">
        <f>Tableau1[[#This Row],[tot tarif ligne]]</f>
        <v>16.5</v>
      </c>
      <c r="AQ85" s="12"/>
      <c r="AR85" s="12"/>
      <c r="AS85" s="12"/>
    </row>
    <row r="86" spans="1:45" hidden="1">
      <c r="A86" s="20" t="s">
        <v>294</v>
      </c>
      <c r="B86" t="s">
        <v>295</v>
      </c>
      <c r="C86" s="1" t="s">
        <v>60</v>
      </c>
      <c r="D86" s="32"/>
      <c r="E86" s="29">
        <v>1</v>
      </c>
      <c r="F86" s="32"/>
      <c r="G86" s="32"/>
      <c r="H86" s="1"/>
      <c r="I86" s="32"/>
      <c r="J86" s="1"/>
      <c r="K86" s="1"/>
      <c r="L86" s="1"/>
      <c r="M86" s="1"/>
      <c r="N86" s="1" t="s">
        <v>61</v>
      </c>
      <c r="O86" s="1"/>
      <c r="P86" s="1">
        <v>20</v>
      </c>
      <c r="Q86" s="14">
        <v>16.5</v>
      </c>
      <c r="R86" s="14">
        <f>(SUM(D86:G86,I86))*Q86</f>
        <v>16.5</v>
      </c>
      <c r="S86" s="1"/>
      <c r="T86">
        <f>+Tableau1[[#This Row],[DELAIS (w)]]*7</f>
        <v>0</v>
      </c>
      <c r="U86">
        <v>19</v>
      </c>
      <c r="V86">
        <v>19</v>
      </c>
      <c r="W86">
        <f>(Tableau1[[#This Row],[DELAIS (w)]]+2)*(2.5*SUM(Tableau1[[#This Row],[086401 - Train mobile équipé pour DIPRO 3x]:[086885 - Ensemble Codeur - DIPRO 3x]]))</f>
        <v>5</v>
      </c>
      <c r="X86">
        <f>+Tableau1[[#This Row],[STOCK disponible]]/(SUM(Tableau1[[#This Row],[086401 - Train mobile équipé pour DIPRO 3x]:[086885 - Ensemble Codeur - DIPRO 3x]])*2.5)</f>
        <v>7.6</v>
      </c>
      <c r="Y86" s="9">
        <f ca="1">TODAY()+(Tableau1[[#This Row],[COUVERTURE W (capa 2,5M/S)]]*7)</f>
        <v>46272.2</v>
      </c>
      <c r="Z86" s="9" t="str">
        <f>IF(Tableau1[[#This Row],[STOCK disponible]]&lt;Tableau1[[#This Row],[SEUIL]],"A COMMANDER","")</f>
        <v/>
      </c>
      <c r="AD86" s="9" t="str">
        <f>IF(ISBLANK(Tableau1[[#This Row],[date de livraison réappro]]),"",(IF(Tableau1[[#This Row],[date de livraison réappro]]&lt;Tableau1[[#This Row],[date de rupture estimé]],"OK","RUPTURE")))</f>
        <v/>
      </c>
      <c r="AE86" s="16"/>
      <c r="AG86" s="44"/>
      <c r="AM86" s="12"/>
      <c r="AN86" s="12"/>
      <c r="AO86" s="12"/>
      <c r="AP86" s="12">
        <f>Tableau1[[#This Row],[tot tarif ligne]]</f>
        <v>16.5</v>
      </c>
      <c r="AQ86" s="12"/>
      <c r="AR86" s="12"/>
      <c r="AS86" s="12"/>
    </row>
    <row r="87" spans="1:45" hidden="1">
      <c r="A87" s="20" t="s">
        <v>296</v>
      </c>
      <c r="B87" t="s">
        <v>297</v>
      </c>
      <c r="C87" s="1" t="s">
        <v>60</v>
      </c>
      <c r="D87" s="29">
        <v>1</v>
      </c>
      <c r="E87" s="32"/>
      <c r="F87" s="32"/>
      <c r="G87" s="32"/>
      <c r="H87" s="1"/>
      <c r="I87" s="32"/>
      <c r="J87" s="1"/>
      <c r="K87" s="1"/>
      <c r="L87" s="1"/>
      <c r="M87" s="1"/>
      <c r="N87" s="1" t="s">
        <v>61</v>
      </c>
      <c r="O87" s="1"/>
      <c r="P87" s="1">
        <v>20</v>
      </c>
      <c r="Q87" s="14">
        <v>16.5</v>
      </c>
      <c r="R87" s="14">
        <f>(SUM(D87:G87,I87))*Q87</f>
        <v>16.5</v>
      </c>
      <c r="S87" s="1"/>
      <c r="T87">
        <f>+Tableau1[[#This Row],[DELAIS (w)]]*7</f>
        <v>0</v>
      </c>
      <c r="U87">
        <v>19</v>
      </c>
      <c r="V87">
        <v>19</v>
      </c>
      <c r="W87">
        <f>(Tableau1[[#This Row],[DELAIS (w)]]+2)*(2.5*SUM(Tableau1[[#This Row],[086401 - Train mobile équipé pour DIPRO 3x]:[086885 - Ensemble Codeur - DIPRO 3x]]))</f>
        <v>5</v>
      </c>
      <c r="X87">
        <f>+Tableau1[[#This Row],[STOCK disponible]]/(SUM(Tableau1[[#This Row],[086401 - Train mobile équipé pour DIPRO 3x]:[086885 - Ensemble Codeur - DIPRO 3x]])*2.5)</f>
        <v>7.6</v>
      </c>
      <c r="Y87" s="9">
        <f ca="1">TODAY()+(Tableau1[[#This Row],[COUVERTURE W (capa 2,5M/S)]]*7)</f>
        <v>46272.2</v>
      </c>
      <c r="Z87" s="9" t="str">
        <f>IF(Tableau1[[#This Row],[STOCK disponible]]&lt;Tableau1[[#This Row],[SEUIL]],"A COMMANDER","")</f>
        <v/>
      </c>
      <c r="AD87" s="9" t="str">
        <f>IF(ISBLANK(Tableau1[[#This Row],[date de livraison réappro]]),"",(IF(Tableau1[[#This Row],[date de livraison réappro]]&lt;Tableau1[[#This Row],[date de rupture estimé]],"OK","RUPTURE")))</f>
        <v/>
      </c>
      <c r="AE87" s="16"/>
      <c r="AG87" s="44"/>
      <c r="AM87" s="12"/>
      <c r="AN87" s="12"/>
      <c r="AO87" s="12"/>
      <c r="AP87" s="12">
        <f>Tableau1[[#This Row],[tot tarif ligne]]</f>
        <v>16.5</v>
      </c>
      <c r="AQ87" s="12"/>
      <c r="AR87" s="12"/>
      <c r="AS87" s="12"/>
    </row>
    <row r="88" spans="1:45" hidden="1">
      <c r="A88" s="20" t="s">
        <v>298</v>
      </c>
      <c r="B88" t="s">
        <v>299</v>
      </c>
      <c r="C88" s="1" t="s">
        <v>60</v>
      </c>
      <c r="D88" s="29">
        <v>1</v>
      </c>
      <c r="E88" s="32"/>
      <c r="F88" s="32"/>
      <c r="G88" s="32"/>
      <c r="H88" s="1"/>
      <c r="I88" s="32"/>
      <c r="J88" s="1"/>
      <c r="K88" s="1"/>
      <c r="L88" s="1"/>
      <c r="M88" s="1"/>
      <c r="N88" s="1" t="s">
        <v>61</v>
      </c>
      <c r="O88" s="1"/>
      <c r="P88" s="1">
        <v>20</v>
      </c>
      <c r="Q88" s="14">
        <v>16.399999999999999</v>
      </c>
      <c r="R88" s="14">
        <f>(SUM(D88:G88,I88))*Q88</f>
        <v>16.399999999999999</v>
      </c>
      <c r="S88" s="1"/>
      <c r="T88">
        <f>+Tableau1[[#This Row],[DELAIS (w)]]*7</f>
        <v>0</v>
      </c>
      <c r="U88"/>
      <c r="W88">
        <f>(Tableau1[[#This Row],[DELAIS (w)]]+2)*(2*SUM(Tableau1[[#This Row],[086401 - Train mobile équipé pour DIPRO 3x]:[086885 - Ensemble Codeur - DIPRO 3x]]))</f>
        <v>4</v>
      </c>
      <c r="X88">
        <f>+Tableau1[[#This Row],[STOCK disponible]]/(SUM(Tableau1[[#This Row],[086401 - Train mobile équipé pour DIPRO 3x]:[086885 - Ensemble Codeur - DIPRO 3x]])*2.5)</f>
        <v>0</v>
      </c>
      <c r="Y88" s="9">
        <f ca="1">TODAY()+(Tableau1[[#This Row],[COUVERTURE W (capa 2,5M/S)]]*7)</f>
        <v>46219</v>
      </c>
      <c r="Z88" s="9"/>
      <c r="AD88" s="9" t="str">
        <f>IF(ISBLANK(Tableau1[[#This Row],[date de livraison réappro]]),"",(IF(Tableau1[[#This Row],[date de livraison réappro]]&lt;Tableau1[[#This Row],[date de rupture estimé]],"OK","RUPTURE")))</f>
        <v/>
      </c>
      <c r="AE88" s="16"/>
      <c r="AG88" s="44"/>
      <c r="AM88" s="12"/>
      <c r="AN88" s="12"/>
      <c r="AO88" s="12"/>
      <c r="AP88" s="12">
        <f>Tableau1[[#This Row],[tot tarif ligne]]</f>
        <v>16.399999999999999</v>
      </c>
      <c r="AQ88" s="12"/>
      <c r="AR88" s="12"/>
      <c r="AS88" s="12"/>
    </row>
    <row r="89" spans="1:45" hidden="1">
      <c r="A89" s="20" t="s">
        <v>300</v>
      </c>
      <c r="B89" t="s">
        <v>301</v>
      </c>
      <c r="C89" s="1" t="s">
        <v>60</v>
      </c>
      <c r="D89" s="29">
        <v>1</v>
      </c>
      <c r="E89" s="32"/>
      <c r="F89" s="32"/>
      <c r="G89" s="32"/>
      <c r="H89" s="1"/>
      <c r="I89" s="32"/>
      <c r="J89" s="1"/>
      <c r="K89" s="1"/>
      <c r="L89" s="1"/>
      <c r="M89" s="1"/>
      <c r="N89" s="1" t="s">
        <v>61</v>
      </c>
      <c r="O89" s="1"/>
      <c r="P89" s="1">
        <v>20</v>
      </c>
      <c r="Q89" s="14">
        <v>16.399999999999999</v>
      </c>
      <c r="R89" s="14">
        <f>(SUM(D89:G89,I89))*Q89</f>
        <v>16.399999999999999</v>
      </c>
      <c r="S89" s="1"/>
      <c r="T89">
        <f>+Tableau1[[#This Row],[DELAIS (w)]]*7</f>
        <v>0</v>
      </c>
      <c r="U89"/>
      <c r="W89">
        <f>(Tableau1[[#This Row],[DELAIS (w)]]+2)*(2*SUM(Tableau1[[#This Row],[086401 - Train mobile équipé pour DIPRO 3x]:[086885 - Ensemble Codeur - DIPRO 3x]]))</f>
        <v>4</v>
      </c>
      <c r="X89">
        <f>+Tableau1[[#This Row],[STOCK disponible]]/(SUM(Tableau1[[#This Row],[086401 - Train mobile équipé pour DIPRO 3x]:[086885 - Ensemble Codeur - DIPRO 3x]])*2.5)</f>
        <v>0</v>
      </c>
      <c r="Y89" s="9">
        <f ca="1">TODAY()+(Tableau1[[#This Row],[COUVERTURE W (capa 2,5M/S)]]*7)</f>
        <v>46219</v>
      </c>
      <c r="Z89" s="9"/>
      <c r="AD89" s="9" t="str">
        <f>IF(ISBLANK(Tableau1[[#This Row],[date de livraison réappro]]),"",(IF(Tableau1[[#This Row],[date de livraison réappro]]&lt;Tableau1[[#This Row],[date de rupture estimé]],"OK","RUPTURE")))</f>
        <v/>
      </c>
      <c r="AE89" s="16"/>
      <c r="AG89" s="44"/>
      <c r="AM89" s="12"/>
      <c r="AN89" s="12"/>
      <c r="AO89" s="12"/>
      <c r="AP89" s="12">
        <f>Tableau1[[#This Row],[tot tarif ligne]]</f>
        <v>16.399999999999999</v>
      </c>
      <c r="AQ89" s="12"/>
      <c r="AR89" s="12"/>
      <c r="AS89" s="12"/>
    </row>
    <row r="90" spans="1:45" hidden="1">
      <c r="A90" s="20" t="s">
        <v>302</v>
      </c>
      <c r="B90" t="s">
        <v>303</v>
      </c>
      <c r="C90" s="1" t="s">
        <v>60</v>
      </c>
      <c r="D90" s="29">
        <v>1</v>
      </c>
      <c r="E90" s="32"/>
      <c r="F90" s="32"/>
      <c r="G90" s="32"/>
      <c r="H90" s="1"/>
      <c r="I90" s="32"/>
      <c r="J90" s="1"/>
      <c r="K90" s="1"/>
      <c r="L90" s="1"/>
      <c r="M90" s="1"/>
      <c r="N90" s="1" t="s">
        <v>61</v>
      </c>
      <c r="O90" s="1"/>
      <c r="P90" s="1">
        <v>20</v>
      </c>
      <c r="Q90" s="14">
        <v>16.399999999999999</v>
      </c>
      <c r="R90" s="14">
        <f>(SUM(D90:G90,I90))*Q90</f>
        <v>16.399999999999999</v>
      </c>
      <c r="S90" s="1"/>
      <c r="T90">
        <f>+Tableau1[[#This Row],[DELAIS (w)]]*7</f>
        <v>0</v>
      </c>
      <c r="U90"/>
      <c r="W90">
        <f>(Tableau1[[#This Row],[DELAIS (w)]]+2)*(2*SUM(Tableau1[[#This Row],[086401 - Train mobile équipé pour DIPRO 3x]:[086885 - Ensemble Codeur - DIPRO 3x]]))</f>
        <v>4</v>
      </c>
      <c r="X90">
        <f>+Tableau1[[#This Row],[STOCK disponible]]/(SUM(Tableau1[[#This Row],[086401 - Train mobile équipé pour DIPRO 3x]:[086885 - Ensemble Codeur - DIPRO 3x]])*2.5)</f>
        <v>0</v>
      </c>
      <c r="Y90" s="9">
        <f ca="1">TODAY()+(Tableau1[[#This Row],[COUVERTURE W (capa 2,5M/S)]]*7)</f>
        <v>46219</v>
      </c>
      <c r="Z90" s="9"/>
      <c r="AD90" s="9" t="str">
        <f>IF(ISBLANK(Tableau1[[#This Row],[date de livraison réappro]]),"",(IF(Tableau1[[#This Row],[date de livraison réappro]]&lt;Tableau1[[#This Row],[date de rupture estimé]],"OK","RUPTURE")))</f>
        <v/>
      </c>
      <c r="AE90" s="16"/>
      <c r="AG90" s="44"/>
      <c r="AM90" s="12"/>
      <c r="AN90" s="12"/>
      <c r="AO90" s="12"/>
      <c r="AP90" s="12">
        <f>Tableau1[[#This Row],[tot tarif ligne]]</f>
        <v>16.399999999999999</v>
      </c>
      <c r="AQ90" s="12"/>
      <c r="AR90" s="12"/>
      <c r="AS90" s="12"/>
    </row>
    <row r="91" spans="1:45" hidden="1">
      <c r="A91" s="20" t="s">
        <v>304</v>
      </c>
      <c r="B91" t="s">
        <v>305</v>
      </c>
      <c r="C91" s="1" t="s">
        <v>60</v>
      </c>
      <c r="D91" s="29">
        <v>1</v>
      </c>
      <c r="E91" s="32"/>
      <c r="F91" s="32"/>
      <c r="G91" s="32"/>
      <c r="H91" s="1"/>
      <c r="I91" s="32"/>
      <c r="J91" s="1"/>
      <c r="K91" s="1"/>
      <c r="L91" s="1"/>
      <c r="M91" s="1"/>
      <c r="N91" s="1" t="s">
        <v>61</v>
      </c>
      <c r="O91" s="1"/>
      <c r="P91" s="1">
        <v>20</v>
      </c>
      <c r="Q91" s="14">
        <v>16.399999999999999</v>
      </c>
      <c r="R91" s="14">
        <f>(SUM(D91:G91,I91))*Q91</f>
        <v>16.399999999999999</v>
      </c>
      <c r="S91" s="1"/>
      <c r="T91">
        <f>+Tableau1[[#This Row],[DELAIS (w)]]*7</f>
        <v>0</v>
      </c>
      <c r="U91">
        <v>19</v>
      </c>
      <c r="V91">
        <v>19</v>
      </c>
      <c r="W91">
        <f>(Tableau1[[#This Row],[DELAIS (w)]]+2)*(2.5*SUM(Tableau1[[#This Row],[086401 - Train mobile équipé pour DIPRO 3x]:[086885 - Ensemble Codeur - DIPRO 3x]]))</f>
        <v>5</v>
      </c>
      <c r="X91">
        <f>+Tableau1[[#This Row],[STOCK disponible]]/(SUM(Tableau1[[#This Row],[086401 - Train mobile équipé pour DIPRO 3x]:[086885 - Ensemble Codeur - DIPRO 3x]])*2.5)</f>
        <v>7.6</v>
      </c>
      <c r="Y91" s="9">
        <f ca="1">TODAY()+(Tableau1[[#This Row],[COUVERTURE W (capa 2,5M/S)]]*7)</f>
        <v>46272.2</v>
      </c>
      <c r="Z91" s="9" t="str">
        <f>IF(Tableau1[[#This Row],[STOCK disponible]]&lt;Tableau1[[#This Row],[SEUIL]],"A COMMANDER","")</f>
        <v/>
      </c>
      <c r="AD91" s="9" t="str">
        <f>IF(ISBLANK(Tableau1[[#This Row],[date de livraison réappro]]),"",(IF(Tableau1[[#This Row],[date de livraison réappro]]&lt;Tableau1[[#This Row],[date de rupture estimé]],"OK","RUPTURE")))</f>
        <v/>
      </c>
      <c r="AE91" s="16"/>
      <c r="AG91" s="44"/>
      <c r="AM91" s="12"/>
      <c r="AN91" s="12"/>
      <c r="AO91" s="12"/>
      <c r="AP91" s="12">
        <f>Tableau1[[#This Row],[tot tarif ligne]]</f>
        <v>16.399999999999999</v>
      </c>
      <c r="AQ91" s="12"/>
      <c r="AR91" s="12"/>
      <c r="AS91" s="12"/>
    </row>
    <row r="92" spans="1:45" hidden="1">
      <c r="A92" s="20" t="s">
        <v>306</v>
      </c>
      <c r="B92" s="21" t="s">
        <v>307</v>
      </c>
      <c r="C92" s="21"/>
      <c r="D92" s="32">
        <v>8</v>
      </c>
      <c r="E92" s="32">
        <v>14</v>
      </c>
      <c r="F92" s="32"/>
      <c r="G92" s="32"/>
      <c r="H92" s="1"/>
      <c r="I92" s="32"/>
      <c r="J92" s="1"/>
      <c r="K92" s="1"/>
      <c r="L92" s="1"/>
      <c r="M92" s="1" t="s">
        <v>308</v>
      </c>
      <c r="N92" s="1" t="s">
        <v>134</v>
      </c>
      <c r="O92" s="1" t="s">
        <v>309</v>
      </c>
      <c r="P92" s="1">
        <v>200</v>
      </c>
      <c r="Q92" s="14">
        <v>0.6</v>
      </c>
      <c r="R92" s="14">
        <f>(SUM(D92:G92,I92))*Q92</f>
        <v>13.2</v>
      </c>
      <c r="S92" s="1">
        <v>2</v>
      </c>
      <c r="T92">
        <f>+Tableau1[[#This Row],[DELAIS (w)]]*7</f>
        <v>14</v>
      </c>
      <c r="U92"/>
      <c r="Y92" s="9"/>
      <c r="Z92" s="9"/>
      <c r="AD92" s="9" t="str">
        <f>IF(ISBLANK(Tableau1[[#This Row],[date de livraison réappro]]),"",(IF(Tableau1[[#This Row],[date de livraison réappro]]&lt;Tableau1[[#This Row],[date de rupture estimé]],"OK","RUPTURE")))</f>
        <v/>
      </c>
      <c r="AE92" s="16"/>
      <c r="AG92" s="44"/>
      <c r="AM92" s="12"/>
      <c r="AN92" s="12"/>
      <c r="AO92" s="12"/>
      <c r="AP92" s="12"/>
      <c r="AQ92" s="12"/>
      <c r="AR92" s="12"/>
      <c r="AS92" s="12"/>
    </row>
    <row r="93" spans="1:45" hidden="1">
      <c r="A93" s="20">
        <v>100118</v>
      </c>
      <c r="B93" t="s">
        <v>310</v>
      </c>
      <c r="D93" s="32"/>
      <c r="E93" s="32"/>
      <c r="F93" s="32">
        <v>4</v>
      </c>
      <c r="G93" s="32"/>
      <c r="H93" s="1"/>
      <c r="I93" s="32"/>
      <c r="J93" s="1"/>
      <c r="K93" s="1"/>
      <c r="L93" s="1"/>
      <c r="M93" s="1" t="s">
        <v>133</v>
      </c>
      <c r="N93" s="1" t="s">
        <v>134</v>
      </c>
      <c r="O93" s="1" t="s">
        <v>311</v>
      </c>
      <c r="P93" s="1">
        <v>120</v>
      </c>
      <c r="Q93" s="14">
        <v>3.25</v>
      </c>
      <c r="R93" s="14">
        <f>(SUM(D93:G93,I93))*Q93</f>
        <v>13</v>
      </c>
      <c r="S93" s="1">
        <v>2</v>
      </c>
      <c r="T93">
        <f>+Tableau1[[#This Row],[DELAIS (w)]]*7</f>
        <v>14</v>
      </c>
      <c r="U93">
        <v>164</v>
      </c>
      <c r="V93">
        <v>164</v>
      </c>
      <c r="W93">
        <f>(Tableau1[[#This Row],[DELAIS (w)]]+2)*(2.5*SUM(Tableau1[[#This Row],[086401 - Train mobile équipé pour DIPRO 3x]:[086885 - Ensemble Codeur - DIPRO 3x]]))</f>
        <v>40</v>
      </c>
      <c r="X93">
        <f>+Tableau1[[#This Row],[STOCK disponible]]/(SUM(Tableau1[[#This Row],[086401 - Train mobile équipé pour DIPRO 3x]:[086885 - Ensemble Codeur - DIPRO 3x]])*2.5)</f>
        <v>16.399999999999999</v>
      </c>
      <c r="Y93" s="9">
        <f ca="1">TODAY()+(Tableau1[[#This Row],[COUVERTURE W (capa 2,5M/S)]]*7)</f>
        <v>46333.8</v>
      </c>
      <c r="Z93" s="9" t="str">
        <f>IF(Tableau1[[#This Row],[STOCK disponible]]&lt;Tableau1[[#This Row],[SEUIL]],"A COMMANDER","")</f>
        <v/>
      </c>
      <c r="AC93" s="25"/>
      <c r="AD93" s="9" t="str">
        <f>IF(ISBLANK(Tableau1[[#This Row],[date de livraison réappro]]),"",(IF(Tableau1[[#This Row],[date de livraison réappro]]&lt;Tableau1[[#This Row],[date de rupture estimé]],"OK","RUPTURE")))</f>
        <v/>
      </c>
      <c r="AE93" s="17">
        <v>0</v>
      </c>
      <c r="AG93" s="44"/>
      <c r="AM93" s="12"/>
      <c r="AN93" s="12"/>
      <c r="AO93" s="12"/>
      <c r="AP93" s="12"/>
      <c r="AQ93" s="12"/>
      <c r="AR93" s="12"/>
      <c r="AS93" s="12"/>
    </row>
    <row r="94" spans="1:45" hidden="1">
      <c r="A94" s="20" t="s">
        <v>312</v>
      </c>
      <c r="B94" s="1" t="s">
        <v>313</v>
      </c>
      <c r="C94" s="1" t="s">
        <v>60</v>
      </c>
      <c r="D94" s="32">
        <v>2</v>
      </c>
      <c r="E94" s="32"/>
      <c r="F94" s="32"/>
      <c r="G94" s="32"/>
      <c r="H94" s="1"/>
      <c r="I94" s="32"/>
      <c r="J94" s="1"/>
      <c r="K94" s="1"/>
      <c r="L94" s="1"/>
      <c r="M94" s="1" t="s">
        <v>142</v>
      </c>
      <c r="N94" s="1" t="s">
        <v>167</v>
      </c>
      <c r="O94" s="1"/>
      <c r="P94" s="1">
        <v>40</v>
      </c>
      <c r="Q94" s="14">
        <v>6.44</v>
      </c>
      <c r="R94" s="14">
        <f>(SUM(D94:G94,I94))*Q94</f>
        <v>12.88</v>
      </c>
      <c r="S94" s="1">
        <v>4</v>
      </c>
      <c r="T94">
        <f>+Tableau1[[#This Row],[DELAIS (w)]]*7</f>
        <v>28</v>
      </c>
      <c r="U94">
        <v>42</v>
      </c>
      <c r="V94">
        <v>42</v>
      </c>
      <c r="W94">
        <f>(Tableau1[[#This Row],[DELAIS (w)]]+2)*(2.5*SUM(Tableau1[[#This Row],[086401 - Train mobile équipé pour DIPRO 3x]:[086885 - Ensemble Codeur - DIPRO 3x]]))</f>
        <v>30</v>
      </c>
      <c r="X94">
        <f>+Tableau1[[#This Row],[STOCK disponible]]/(SUM(Tableau1[[#This Row],[086401 - Train mobile équipé pour DIPRO 3x]:[086885 - Ensemble Codeur - DIPRO 3x]])*2.5)</f>
        <v>8.4</v>
      </c>
      <c r="Y94" s="9">
        <f ca="1">TODAY()+(Tableau1[[#This Row],[COUVERTURE W (capa 2,5M/S)]]*7)</f>
        <v>46277.8</v>
      </c>
      <c r="Z94" s="9" t="str">
        <f>IF(Tableau1[[#This Row],[STOCK disponible]]&lt;Tableau1[[#This Row],[SEUIL]],"A COMMANDER","")</f>
        <v/>
      </c>
      <c r="AD94" s="9" t="str">
        <f>IF(ISBLANK(Tableau1[[#This Row],[date de livraison réappro]]),"",(IF(Tableau1[[#This Row],[date de livraison réappro]]&lt;Tableau1[[#This Row],[date de rupture estimé]],"OK","RUPTURE")))</f>
        <v/>
      </c>
      <c r="AE94" s="16"/>
      <c r="AG94" s="44"/>
      <c r="AM94" s="12"/>
      <c r="AN94" s="12"/>
      <c r="AO94" s="12"/>
      <c r="AP94" s="12"/>
      <c r="AQ94" s="12">
        <f>Tableau1[[#This Row],[tot tarif ligne]]</f>
        <v>12.88</v>
      </c>
      <c r="AR94" s="12"/>
      <c r="AS94" s="12"/>
    </row>
    <row r="95" spans="1:45" hidden="1">
      <c r="A95" s="20" t="s">
        <v>314</v>
      </c>
      <c r="B95" s="1" t="s">
        <v>315</v>
      </c>
      <c r="C95" s="1" t="s">
        <v>52</v>
      </c>
      <c r="D95" s="32"/>
      <c r="E95" s="32"/>
      <c r="F95" s="32"/>
      <c r="G95" s="32"/>
      <c r="H95" s="1">
        <v>1</v>
      </c>
      <c r="I95" s="32">
        <v>1</v>
      </c>
      <c r="J95" s="1"/>
      <c r="K95" s="1"/>
      <c r="L95" s="1"/>
      <c r="M95" s="1" t="s">
        <v>142</v>
      </c>
      <c r="N95" s="1" t="s">
        <v>167</v>
      </c>
      <c r="O95" s="1"/>
      <c r="P95" s="1">
        <v>40</v>
      </c>
      <c r="Q95" s="14">
        <v>12.74</v>
      </c>
      <c r="R95" s="14">
        <f>(SUM(D95:G95,I95))*Q95</f>
        <v>12.74</v>
      </c>
      <c r="S95" s="1">
        <v>3</v>
      </c>
      <c r="T95">
        <f>+Tableau1[[#This Row],[DELAIS (w)]]*7</f>
        <v>21</v>
      </c>
      <c r="U95">
        <v>45</v>
      </c>
      <c r="V95">
        <v>45</v>
      </c>
      <c r="W95">
        <f>(Tableau1[[#This Row],[DELAIS (w)]]+2)*(2.5*SUM(Tableau1[[#This Row],[086401 - Train mobile équipé pour DIPRO 3x]:[086885 - Ensemble Codeur - DIPRO 3x]]))</f>
        <v>25</v>
      </c>
      <c r="X95">
        <f>+Tableau1[[#This Row],[STOCK disponible]]/(SUM(Tableau1[[#This Row],[086401 - Train mobile équipé pour DIPRO 3x]:[086885 - Ensemble Codeur - DIPRO 3x]])*2.5)</f>
        <v>9</v>
      </c>
      <c r="Y95" s="9">
        <f ca="1">TODAY()+(Tableau1[[#This Row],[COUVERTURE W (capa 2,5M/S)]]*7)</f>
        <v>46282</v>
      </c>
      <c r="Z95" s="9" t="str">
        <f>IF(Tableau1[[#This Row],[STOCK disponible]]&lt;Tableau1[[#This Row],[SEUIL]],"A COMMANDER","")</f>
        <v/>
      </c>
      <c r="AD95" s="9" t="str">
        <f>IF(ISBLANK(Tableau1[[#This Row],[date de livraison réappro]]),"",(IF(Tableau1[[#This Row],[date de livraison réappro]]&lt;Tableau1[[#This Row],[date de rupture estimé]],"OK","RUPTURE")))</f>
        <v/>
      </c>
      <c r="AE95" s="17">
        <v>10</v>
      </c>
      <c r="AG95" s="44"/>
      <c r="AM95" s="12"/>
      <c r="AN95" s="12"/>
      <c r="AO95" s="12"/>
      <c r="AP95" s="12"/>
      <c r="AQ95" s="12">
        <f>Tableau1[[#This Row],[tot tarif ligne]]</f>
        <v>12.74</v>
      </c>
      <c r="AR95" s="12"/>
      <c r="AS95" s="12"/>
    </row>
    <row r="96" spans="1:45" hidden="1">
      <c r="A96" s="20" t="s">
        <v>316</v>
      </c>
      <c r="B96" t="s">
        <v>317</v>
      </c>
      <c r="C96" t="s">
        <v>60</v>
      </c>
      <c r="D96" s="32"/>
      <c r="E96" s="29">
        <v>1</v>
      </c>
      <c r="F96" s="32"/>
      <c r="G96" s="32"/>
      <c r="H96" s="1"/>
      <c r="I96" s="32"/>
      <c r="J96" s="1"/>
      <c r="K96" s="1"/>
      <c r="L96" s="1"/>
      <c r="M96" s="1"/>
      <c r="N96" s="1" t="s">
        <v>61</v>
      </c>
      <c r="O96" s="1"/>
      <c r="P96" s="1">
        <v>20</v>
      </c>
      <c r="Q96" s="14">
        <v>9.4</v>
      </c>
      <c r="R96" s="14">
        <f>(SUM(D96:G96,I96))*Q96</f>
        <v>9.4</v>
      </c>
      <c r="S96" s="1"/>
      <c r="T96">
        <f>+Tableau1[[#This Row],[DELAIS (w)]]*7</f>
        <v>0</v>
      </c>
      <c r="U96"/>
      <c r="W96">
        <f>(Tableau1[[#This Row],[DELAIS (w)]]+2)*(2*SUM(Tableau1[[#This Row],[086401 - Train mobile équipé pour DIPRO 3x]:[086885 - Ensemble Codeur - DIPRO 3x]]))</f>
        <v>4</v>
      </c>
      <c r="X96">
        <f>+Tableau1[[#This Row],[STOCK disponible]]/(SUM(Tableau1[[#This Row],[086401 - Train mobile équipé pour DIPRO 3x]:[086885 - Ensemble Codeur - DIPRO 3x]])*2.5)</f>
        <v>0</v>
      </c>
      <c r="Y96" s="9">
        <f ca="1">TODAY()+(Tableau1[[#This Row],[COUVERTURE W (capa 2,5M/S)]]*7)</f>
        <v>46219</v>
      </c>
      <c r="Z96" s="9"/>
      <c r="AD96" s="9" t="str">
        <f>IF(ISBLANK(Tableau1[[#This Row],[date de livraison réappro]]),"",(IF(Tableau1[[#This Row],[date de livraison réappro]]&lt;Tableau1[[#This Row],[date de rupture estimé]],"OK","RUPTURE")))</f>
        <v/>
      </c>
      <c r="AE96" s="16"/>
      <c r="AG96" s="44"/>
      <c r="AM96" s="12"/>
      <c r="AN96" s="12"/>
      <c r="AO96" s="12"/>
      <c r="AP96" s="12">
        <f>Tableau1[[#This Row],[tot tarif ligne]]</f>
        <v>9.4</v>
      </c>
      <c r="AQ96" s="12"/>
      <c r="AR96" s="12"/>
      <c r="AS96" s="12"/>
    </row>
    <row r="97" spans="1:45" hidden="1">
      <c r="A97" s="20" t="s">
        <v>318</v>
      </c>
      <c r="B97" t="s">
        <v>319</v>
      </c>
      <c r="C97" t="s">
        <v>60</v>
      </c>
      <c r="D97" s="32"/>
      <c r="E97" s="29">
        <v>1</v>
      </c>
      <c r="F97" s="32"/>
      <c r="G97" s="32"/>
      <c r="H97" s="1"/>
      <c r="I97" s="32"/>
      <c r="J97" s="1"/>
      <c r="K97" s="1"/>
      <c r="L97" s="1"/>
      <c r="M97" s="1"/>
      <c r="N97" s="1" t="s">
        <v>61</v>
      </c>
      <c r="O97" s="1"/>
      <c r="P97" s="1">
        <v>20</v>
      </c>
      <c r="Q97" s="14">
        <v>9.4</v>
      </c>
      <c r="R97" s="14">
        <f>(SUM(D97:G97,I97))*Q97</f>
        <v>9.4</v>
      </c>
      <c r="S97" s="1"/>
      <c r="T97">
        <f>+Tableau1[[#This Row],[DELAIS (w)]]*7</f>
        <v>0</v>
      </c>
      <c r="U97"/>
      <c r="W97">
        <f>(Tableau1[[#This Row],[DELAIS (w)]]+2)*(2*SUM(Tableau1[[#This Row],[086401 - Train mobile équipé pour DIPRO 3x]:[086885 - Ensemble Codeur - DIPRO 3x]]))</f>
        <v>4</v>
      </c>
      <c r="X97">
        <f>+Tableau1[[#This Row],[STOCK disponible]]/(SUM(Tableau1[[#This Row],[086401 - Train mobile équipé pour DIPRO 3x]:[086885 - Ensemble Codeur - DIPRO 3x]])*2.5)</f>
        <v>0</v>
      </c>
      <c r="Y97" s="9">
        <f ca="1">TODAY()+(Tableau1[[#This Row],[COUVERTURE W (capa 2,5M/S)]]*7)</f>
        <v>46219</v>
      </c>
      <c r="Z97" s="9"/>
      <c r="AD97" s="9" t="str">
        <f>IF(ISBLANK(Tableau1[[#This Row],[date de livraison réappro]]),"",(IF(Tableau1[[#This Row],[date de livraison réappro]]&lt;Tableau1[[#This Row],[date de rupture estimé]],"OK","RUPTURE")))</f>
        <v/>
      </c>
      <c r="AE97" s="16"/>
      <c r="AG97" s="44"/>
      <c r="AM97" s="12"/>
      <c r="AN97" s="12"/>
      <c r="AO97" s="12"/>
      <c r="AP97" s="12">
        <f>Tableau1[[#This Row],[tot tarif ligne]]</f>
        <v>9.4</v>
      </c>
      <c r="AQ97" s="12"/>
      <c r="AR97" s="12"/>
      <c r="AS97" s="12"/>
    </row>
    <row r="98" spans="1:45" hidden="1">
      <c r="A98" s="20" t="s">
        <v>320</v>
      </c>
      <c r="B98" t="s">
        <v>321</v>
      </c>
      <c r="C98" t="s">
        <v>60</v>
      </c>
      <c r="D98" s="32"/>
      <c r="E98" s="29">
        <v>1</v>
      </c>
      <c r="F98" s="32"/>
      <c r="G98" s="32"/>
      <c r="H98" s="1"/>
      <c r="I98" s="32"/>
      <c r="J98" s="1"/>
      <c r="K98" s="1"/>
      <c r="L98" s="1"/>
      <c r="M98" s="1"/>
      <c r="N98" s="1" t="s">
        <v>61</v>
      </c>
      <c r="O98" s="1"/>
      <c r="P98" s="1">
        <v>20</v>
      </c>
      <c r="Q98" s="14">
        <v>9.4</v>
      </c>
      <c r="R98" s="14">
        <f>(SUM(D98:G98,I98))*Q98</f>
        <v>9.4</v>
      </c>
      <c r="S98" s="1"/>
      <c r="T98">
        <f>+Tableau1[[#This Row],[DELAIS (w)]]*7</f>
        <v>0</v>
      </c>
      <c r="U98"/>
      <c r="W98">
        <f>(Tableau1[[#This Row],[DELAIS (w)]]+2)*(2*SUM(Tableau1[[#This Row],[086401 - Train mobile équipé pour DIPRO 3x]:[086885 - Ensemble Codeur - DIPRO 3x]]))</f>
        <v>4</v>
      </c>
      <c r="X98">
        <f>+Tableau1[[#This Row],[STOCK disponible]]/(SUM(Tableau1[[#This Row],[086401 - Train mobile équipé pour DIPRO 3x]:[086885 - Ensemble Codeur - DIPRO 3x]])*2.5)</f>
        <v>0</v>
      </c>
      <c r="Y98" s="9">
        <f ca="1">TODAY()+(Tableau1[[#This Row],[COUVERTURE W (capa 2,5M/S)]]*7)</f>
        <v>46219</v>
      </c>
      <c r="Z98" s="9"/>
      <c r="AD98" s="9" t="str">
        <f>IF(ISBLANK(Tableau1[[#This Row],[date de livraison réappro]]),"",(IF(Tableau1[[#This Row],[date de livraison réappro]]&lt;Tableau1[[#This Row],[date de rupture estimé]],"OK","RUPTURE")))</f>
        <v/>
      </c>
      <c r="AE98" s="16"/>
      <c r="AG98" s="44"/>
      <c r="AM98" s="12"/>
      <c r="AN98" s="12"/>
      <c r="AO98" s="12"/>
      <c r="AP98" s="12">
        <f>Tableau1[[#This Row],[tot tarif ligne]]</f>
        <v>9.4</v>
      </c>
      <c r="AQ98" s="12"/>
      <c r="AR98" s="12"/>
      <c r="AS98" s="12"/>
    </row>
    <row r="99" spans="1:45" hidden="1">
      <c r="A99" s="20" t="s">
        <v>322</v>
      </c>
      <c r="B99" t="s">
        <v>323</v>
      </c>
      <c r="C99" t="s">
        <v>60</v>
      </c>
      <c r="D99" s="32"/>
      <c r="E99" s="29">
        <v>1</v>
      </c>
      <c r="F99" s="32"/>
      <c r="G99" s="32"/>
      <c r="H99" s="1"/>
      <c r="I99" s="32"/>
      <c r="J99" s="1"/>
      <c r="K99" s="1"/>
      <c r="L99" s="1"/>
      <c r="M99" s="1"/>
      <c r="N99" s="1" t="s">
        <v>61</v>
      </c>
      <c r="O99" s="1"/>
      <c r="P99" s="1">
        <v>20</v>
      </c>
      <c r="Q99" s="14">
        <v>9.4</v>
      </c>
      <c r="R99" s="14">
        <f>(SUM(D99:G99,I99))*Q99</f>
        <v>9.4</v>
      </c>
      <c r="S99" s="1"/>
      <c r="T99">
        <f>+Tableau1[[#This Row],[DELAIS (w)]]*7</f>
        <v>0</v>
      </c>
      <c r="U99"/>
      <c r="W99">
        <f>(Tableau1[[#This Row],[DELAIS (w)]]+2)*(2*SUM(Tableau1[[#This Row],[086401 - Train mobile équipé pour DIPRO 3x]:[086885 - Ensemble Codeur - DIPRO 3x]]))</f>
        <v>4</v>
      </c>
      <c r="X99">
        <f>+Tableau1[[#This Row],[STOCK disponible]]/(SUM(Tableau1[[#This Row],[086401 - Train mobile équipé pour DIPRO 3x]:[086885 - Ensemble Codeur - DIPRO 3x]])*2.5)</f>
        <v>0</v>
      </c>
      <c r="Y99" s="9">
        <f ca="1">TODAY()+(Tableau1[[#This Row],[COUVERTURE W (capa 2,5M/S)]]*7)</f>
        <v>46219</v>
      </c>
      <c r="Z99" s="9"/>
      <c r="AD99" s="9" t="str">
        <f>IF(ISBLANK(Tableau1[[#This Row],[date de livraison réappro]]),"",(IF(Tableau1[[#This Row],[date de livraison réappro]]&lt;Tableau1[[#This Row],[date de rupture estimé]],"OK","RUPTURE")))</f>
        <v/>
      </c>
      <c r="AE99" s="16"/>
      <c r="AG99" s="44"/>
      <c r="AM99" s="12"/>
      <c r="AN99" s="12"/>
      <c r="AO99" s="12"/>
      <c r="AP99" s="12">
        <f>Tableau1[[#This Row],[tot tarif ligne]]</f>
        <v>9.4</v>
      </c>
      <c r="AQ99" s="12"/>
      <c r="AR99" s="12"/>
      <c r="AS99" s="12"/>
    </row>
    <row r="100" spans="1:45" hidden="1">
      <c r="A100" s="20" t="s">
        <v>324</v>
      </c>
      <c r="B100" t="s">
        <v>325</v>
      </c>
      <c r="C100" t="s">
        <v>60</v>
      </c>
      <c r="D100" s="32"/>
      <c r="E100" s="29">
        <v>1</v>
      </c>
      <c r="F100" s="32"/>
      <c r="G100" s="32"/>
      <c r="H100" s="1"/>
      <c r="I100" s="32"/>
      <c r="J100" s="1"/>
      <c r="K100" s="1"/>
      <c r="L100" s="1"/>
      <c r="M100" s="1"/>
      <c r="N100" s="1" t="s">
        <v>61</v>
      </c>
      <c r="O100" s="1"/>
      <c r="P100" s="1">
        <v>20</v>
      </c>
      <c r="Q100" s="14">
        <v>9.4</v>
      </c>
      <c r="R100" s="14">
        <f>(SUM(D100:G100,I100))*Q100</f>
        <v>9.4</v>
      </c>
      <c r="S100" s="1"/>
      <c r="T100">
        <f>+Tableau1[[#This Row],[DELAIS (w)]]*7</f>
        <v>0</v>
      </c>
      <c r="U100"/>
      <c r="W100">
        <f>(Tableau1[[#This Row],[DELAIS (w)]]+2)*(2*SUM(Tableau1[[#This Row],[086401 - Train mobile équipé pour DIPRO 3x]:[086885 - Ensemble Codeur - DIPRO 3x]]))</f>
        <v>4</v>
      </c>
      <c r="X100">
        <f>+Tableau1[[#This Row],[STOCK disponible]]/(SUM(Tableau1[[#This Row],[086401 - Train mobile équipé pour DIPRO 3x]:[086885 - Ensemble Codeur - DIPRO 3x]])*2.5)</f>
        <v>0</v>
      </c>
      <c r="Y100" s="9">
        <f ca="1">TODAY()+(Tableau1[[#This Row],[COUVERTURE W (capa 2,5M/S)]]*7)</f>
        <v>46219</v>
      </c>
      <c r="Z100" s="9"/>
      <c r="AD100" s="9" t="str">
        <f>IF(ISBLANK(Tableau1[[#This Row],[date de livraison réappro]]),"",(IF(Tableau1[[#This Row],[date de livraison réappro]]&lt;Tableau1[[#This Row],[date de rupture estimé]],"OK","RUPTURE")))</f>
        <v/>
      </c>
      <c r="AE100" s="16"/>
      <c r="AG100" s="44"/>
      <c r="AM100" s="12"/>
      <c r="AN100" s="12"/>
      <c r="AO100" s="12"/>
      <c r="AP100" s="12">
        <f>Tableau1[[#This Row],[tot tarif ligne]]</f>
        <v>9.4</v>
      </c>
      <c r="AQ100" s="12"/>
      <c r="AR100" s="12"/>
      <c r="AS100" s="12"/>
    </row>
    <row r="101" spans="1:45" hidden="1">
      <c r="A101" s="20" t="s">
        <v>326</v>
      </c>
      <c r="B101" t="s">
        <v>327</v>
      </c>
      <c r="C101" t="s">
        <v>60</v>
      </c>
      <c r="D101" s="29">
        <v>1</v>
      </c>
      <c r="E101" s="32"/>
      <c r="F101" s="32"/>
      <c r="G101" s="32"/>
      <c r="H101" s="1"/>
      <c r="I101" s="32"/>
      <c r="J101" s="1"/>
      <c r="K101" s="1"/>
      <c r="L101" s="1"/>
      <c r="M101" s="1"/>
      <c r="N101" s="1" t="s">
        <v>61</v>
      </c>
      <c r="O101" s="1"/>
      <c r="P101" s="1">
        <v>20</v>
      </c>
      <c r="Q101" s="14">
        <v>9.4</v>
      </c>
      <c r="R101" s="14">
        <f>(SUM(D101:G101,I101))*Q101</f>
        <v>9.4</v>
      </c>
      <c r="S101" s="1"/>
      <c r="T101">
        <f>+Tableau1[[#This Row],[DELAIS (w)]]*7</f>
        <v>0</v>
      </c>
      <c r="U101"/>
      <c r="W101">
        <f>(Tableau1[[#This Row],[DELAIS (w)]]+2)*(2*SUM(Tableau1[[#This Row],[086401 - Train mobile équipé pour DIPRO 3x]:[086885 - Ensemble Codeur - DIPRO 3x]]))</f>
        <v>4</v>
      </c>
      <c r="X101">
        <f>+Tableau1[[#This Row],[STOCK disponible]]/(SUM(Tableau1[[#This Row],[086401 - Train mobile équipé pour DIPRO 3x]:[086885 - Ensemble Codeur - DIPRO 3x]])*2.5)</f>
        <v>0</v>
      </c>
      <c r="Y101" s="9">
        <f ca="1">TODAY()+(Tableau1[[#This Row],[COUVERTURE W (capa 2,5M/S)]]*7)</f>
        <v>46219</v>
      </c>
      <c r="Z101" s="9"/>
      <c r="AD101" s="9" t="str">
        <f>IF(ISBLANK(Tableau1[[#This Row],[date de livraison réappro]]),"",(IF(Tableau1[[#This Row],[date de livraison réappro]]&lt;Tableau1[[#This Row],[date de rupture estimé]],"OK","RUPTURE")))</f>
        <v/>
      </c>
      <c r="AE101" s="16"/>
      <c r="AG101" s="44"/>
      <c r="AM101" s="12"/>
      <c r="AN101" s="12"/>
      <c r="AO101" s="12"/>
      <c r="AP101" s="12">
        <f>Tableau1[[#This Row],[tot tarif ligne]]</f>
        <v>9.4</v>
      </c>
      <c r="AQ101" s="12"/>
      <c r="AR101" s="12"/>
      <c r="AS101" s="12"/>
    </row>
    <row r="102" spans="1:45" hidden="1">
      <c r="A102" s="20" t="s">
        <v>328</v>
      </c>
      <c r="B102" s="1" t="s">
        <v>329</v>
      </c>
      <c r="C102" s="1" t="s">
        <v>330</v>
      </c>
      <c r="D102" s="32"/>
      <c r="E102" s="32"/>
      <c r="F102" s="32">
        <v>1</v>
      </c>
      <c r="G102" s="32"/>
      <c r="H102" s="1"/>
      <c r="I102" s="32"/>
      <c r="J102" s="1"/>
      <c r="K102" s="1"/>
      <c r="L102" s="1"/>
      <c r="M102" s="1" t="s">
        <v>142</v>
      </c>
      <c r="N102" s="1" t="s">
        <v>107</v>
      </c>
      <c r="O102" s="1"/>
      <c r="P102" s="1">
        <v>30</v>
      </c>
      <c r="Q102" s="14">
        <v>9.16</v>
      </c>
      <c r="R102" s="14">
        <f>(SUM(D102:G102,I102))*Q102</f>
        <v>9.16</v>
      </c>
      <c r="S102" s="1">
        <v>12</v>
      </c>
      <c r="T102">
        <f>+Tableau1[[#This Row],[DELAIS (w)]]*7</f>
        <v>84</v>
      </c>
      <c r="U102">
        <v>11</v>
      </c>
      <c r="V102">
        <v>11</v>
      </c>
      <c r="W102">
        <f>(Tableau1[[#This Row],[DELAIS (w)]]+2)*(2.5*SUM(Tableau1[[#This Row],[086401 - Train mobile équipé pour DIPRO 3x]:[086885 - Ensemble Codeur - DIPRO 3x]]))</f>
        <v>35</v>
      </c>
      <c r="X102">
        <f>+Tableau1[[#This Row],[STOCK disponible]]/(SUM(Tableau1[[#This Row],[086401 - Train mobile équipé pour DIPRO 3x]:[086885 - Ensemble Codeur - DIPRO 3x]])*2.5)</f>
        <v>4.4000000000000004</v>
      </c>
      <c r="Y102" s="9">
        <f ca="1">TODAY()+(Tableau1[[#This Row],[COUVERTURE W (capa 2,5M/S)]]*7)</f>
        <v>46249.8</v>
      </c>
      <c r="Z102" s="9" t="str">
        <f>IF(Tableau1[[#This Row],[STOCK disponible]]&lt;Tableau1[[#This Row],[SEUIL]],"A COMMANDER","")</f>
        <v>A COMMANDER</v>
      </c>
      <c r="AA102">
        <v>30</v>
      </c>
      <c r="AB102" t="s">
        <v>108</v>
      </c>
      <c r="AC102" s="9">
        <v>45429</v>
      </c>
      <c r="AD102" s="9" t="str">
        <f ca="1">IF(ISBLANK(Tableau1[[#This Row],[date de livraison réappro]]),"",(IF(Tableau1[[#This Row],[date de livraison réappro]]&lt;Tableau1[[#This Row],[date de rupture estimé]],"OK","RUPTURE")))</f>
        <v>OK</v>
      </c>
      <c r="AE102" s="17">
        <v>15</v>
      </c>
      <c r="AG102" s="44"/>
      <c r="AM102" s="12"/>
      <c r="AN102" s="12"/>
      <c r="AO102" s="12"/>
      <c r="AP102" s="12"/>
      <c r="AQ102" s="12">
        <f>Tableau1[[#This Row],[tot tarif ligne]]</f>
        <v>9.16</v>
      </c>
      <c r="AR102" s="12"/>
      <c r="AS102" s="12"/>
    </row>
    <row r="103" spans="1:45" hidden="1">
      <c r="A103" s="20" t="s">
        <v>331</v>
      </c>
      <c r="B103" t="s">
        <v>332</v>
      </c>
      <c r="C103" t="s">
        <v>60</v>
      </c>
      <c r="D103" s="29">
        <v>1</v>
      </c>
      <c r="E103" s="32"/>
      <c r="F103" s="32"/>
      <c r="G103" s="32"/>
      <c r="H103" s="1"/>
      <c r="I103" s="32"/>
      <c r="J103" s="1"/>
      <c r="K103" s="1"/>
      <c r="L103" s="1"/>
      <c r="M103" s="1"/>
      <c r="N103" s="1" t="s">
        <v>61</v>
      </c>
      <c r="O103" s="1"/>
      <c r="P103" s="1">
        <v>20</v>
      </c>
      <c r="Q103" s="14">
        <v>9</v>
      </c>
      <c r="R103" s="14">
        <f>(SUM(D103:G103,I103))*Q103</f>
        <v>9</v>
      </c>
      <c r="S103" s="1"/>
      <c r="T103">
        <f>+Tableau1[[#This Row],[DELAIS (w)]]*7</f>
        <v>0</v>
      </c>
      <c r="U103"/>
      <c r="W103">
        <f>(Tableau1[[#This Row],[DELAIS (w)]]+2)*(2*SUM(Tableau1[[#This Row],[086401 - Train mobile équipé pour DIPRO 3x]:[086885 - Ensemble Codeur - DIPRO 3x]]))</f>
        <v>4</v>
      </c>
      <c r="X103">
        <f>+Tableau1[[#This Row],[STOCK disponible]]/(SUM(Tableau1[[#This Row],[086401 - Train mobile équipé pour DIPRO 3x]:[086885 - Ensemble Codeur - DIPRO 3x]])*2.5)</f>
        <v>0</v>
      </c>
      <c r="Y103" s="9">
        <f ca="1">TODAY()+(Tableau1[[#This Row],[COUVERTURE W (capa 2,5M/S)]]*7)</f>
        <v>46219</v>
      </c>
      <c r="Z103" s="9"/>
      <c r="AD103" s="9" t="str">
        <f>IF(ISBLANK(Tableau1[[#This Row],[date de livraison réappro]]),"",(IF(Tableau1[[#This Row],[date de livraison réappro]]&lt;Tableau1[[#This Row],[date de rupture estimé]],"OK","RUPTURE")))</f>
        <v/>
      </c>
      <c r="AE103" s="16"/>
      <c r="AG103" s="44"/>
      <c r="AM103" s="12"/>
      <c r="AN103" s="12"/>
      <c r="AO103" s="12"/>
      <c r="AP103" s="12">
        <f>Tableau1[[#This Row],[tot tarif ligne]]</f>
        <v>9</v>
      </c>
      <c r="AQ103" s="12"/>
      <c r="AR103" s="12"/>
      <c r="AS103" s="12"/>
    </row>
    <row r="104" spans="1:45" hidden="1">
      <c r="A104" s="20" t="s">
        <v>333</v>
      </c>
      <c r="B104" t="s">
        <v>334</v>
      </c>
      <c r="C104" t="s">
        <v>60</v>
      </c>
      <c r="D104" s="29">
        <v>1</v>
      </c>
      <c r="E104" s="32"/>
      <c r="F104" s="32"/>
      <c r="G104" s="32"/>
      <c r="H104" s="1"/>
      <c r="I104" s="32"/>
      <c r="J104" s="1"/>
      <c r="K104" s="1"/>
      <c r="L104" s="1"/>
      <c r="M104" s="1"/>
      <c r="N104" s="1" t="s">
        <v>61</v>
      </c>
      <c r="O104" s="1"/>
      <c r="P104" s="1">
        <v>20</v>
      </c>
      <c r="Q104" s="14">
        <v>9</v>
      </c>
      <c r="R104" s="14">
        <f>(SUM(D104:G104,I104))*Q104</f>
        <v>9</v>
      </c>
      <c r="S104" s="1"/>
      <c r="T104">
        <f>+Tableau1[[#This Row],[DELAIS (w)]]*7</f>
        <v>0</v>
      </c>
      <c r="U104"/>
      <c r="W104">
        <f>(Tableau1[[#This Row],[DELAIS (w)]]+2)*(2*SUM(Tableau1[[#This Row],[086401 - Train mobile équipé pour DIPRO 3x]:[086885 - Ensemble Codeur - DIPRO 3x]]))</f>
        <v>4</v>
      </c>
      <c r="X104">
        <f>+Tableau1[[#This Row],[STOCK disponible]]/(SUM(Tableau1[[#This Row],[086401 - Train mobile équipé pour DIPRO 3x]:[086885 - Ensemble Codeur - DIPRO 3x]])*2.5)</f>
        <v>0</v>
      </c>
      <c r="Y104" s="9">
        <f ca="1">TODAY()+(Tableau1[[#This Row],[COUVERTURE W (capa 2,5M/S)]]*7)</f>
        <v>46219</v>
      </c>
      <c r="Z104" s="9"/>
      <c r="AD104" s="9" t="str">
        <f>IF(ISBLANK(Tableau1[[#This Row],[date de livraison réappro]]),"",(IF(Tableau1[[#This Row],[date de livraison réappro]]&lt;Tableau1[[#This Row],[date de rupture estimé]],"OK","RUPTURE")))</f>
        <v/>
      </c>
      <c r="AE104" s="16"/>
      <c r="AG104" s="44"/>
      <c r="AM104" s="12"/>
      <c r="AN104" s="12"/>
      <c r="AO104" s="12"/>
      <c r="AP104" s="12"/>
      <c r="AQ104" s="12"/>
      <c r="AR104" s="12"/>
      <c r="AS104" s="12"/>
    </row>
    <row r="105" spans="1:45" hidden="1">
      <c r="A105" s="21">
        <v>100112</v>
      </c>
      <c r="B105" t="s">
        <v>335</v>
      </c>
      <c r="D105" s="29">
        <v>6</v>
      </c>
      <c r="E105" s="29">
        <v>6</v>
      </c>
      <c r="F105" s="32"/>
      <c r="G105" s="32"/>
      <c r="H105" s="1"/>
      <c r="I105" s="32"/>
      <c r="J105" s="1"/>
      <c r="K105" s="1"/>
      <c r="L105" s="1"/>
      <c r="M105" t="s">
        <v>133</v>
      </c>
      <c r="N105" s="1" t="s">
        <v>173</v>
      </c>
      <c r="O105" t="s">
        <v>336</v>
      </c>
      <c r="P105">
        <v>120</v>
      </c>
      <c r="Q105" s="12">
        <v>0.72</v>
      </c>
      <c r="R105" s="14">
        <f>(SUM(D105:G105,I105))*Q105</f>
        <v>8.64</v>
      </c>
      <c r="S105">
        <v>1</v>
      </c>
      <c r="T105">
        <f>+Tableau1[[#This Row],[DELAIS (w)]]*7</f>
        <v>7</v>
      </c>
      <c r="U105">
        <v>78</v>
      </c>
      <c r="V105">
        <v>78</v>
      </c>
      <c r="W105">
        <f>(Tableau1[[#This Row],[DELAIS (w)]]+2)*(2.5*SUM(Tableau1[[#This Row],[086401 - Train mobile équipé pour DIPRO 3x]:[086885 - Ensemble Codeur - DIPRO 3x]]))</f>
        <v>90</v>
      </c>
      <c r="X105">
        <f>+Tableau1[[#This Row],[STOCK disponible]]/(SUM(Tableau1[[#This Row],[086401 - Train mobile équipé pour DIPRO 3x]:[086885 - Ensemble Codeur - DIPRO 3x]])*2.5)</f>
        <v>2.6</v>
      </c>
      <c r="Y105" s="9">
        <f ca="1">TODAY()+(Tableau1[[#This Row],[COUVERTURE W (capa 2,5M/S)]]*7)</f>
        <v>46237.2</v>
      </c>
      <c r="Z105" s="9" t="str">
        <f>IF(Tableau1[[#This Row],[STOCK disponible]]&lt;Tableau1[[#This Row],[SEUIL]],"A COMMANDER","")</f>
        <v>A COMMANDER</v>
      </c>
      <c r="AD105" s="9" t="str">
        <f>IF(ISBLANK(Tableau1[[#This Row],[date de livraison réappro]]),"",(IF(Tableau1[[#This Row],[date de livraison réappro]]&lt;Tableau1[[#This Row],[date de rupture estimé]],"OK","RUPTURE")))</f>
        <v/>
      </c>
      <c r="AE105" s="17">
        <v>120</v>
      </c>
      <c r="AG105" s="44"/>
      <c r="AK105" s="6" t="s">
        <v>175</v>
      </c>
      <c r="AM105" s="12"/>
      <c r="AN105" s="12"/>
      <c r="AO105" s="12"/>
      <c r="AP105" s="12"/>
      <c r="AQ105" s="12"/>
      <c r="AR105" s="12"/>
      <c r="AS105" s="12"/>
    </row>
    <row r="106" spans="1:45" hidden="1">
      <c r="A106" s="20">
        <v>100104</v>
      </c>
      <c r="B106" s="1" t="s">
        <v>337</v>
      </c>
      <c r="C106" s="1" t="s">
        <v>52</v>
      </c>
      <c r="D106" s="32"/>
      <c r="E106" s="32"/>
      <c r="F106" s="32"/>
      <c r="G106" s="32"/>
      <c r="H106" s="1">
        <v>1</v>
      </c>
      <c r="I106" s="32">
        <v>1</v>
      </c>
      <c r="J106" s="1"/>
      <c r="K106" s="1"/>
      <c r="L106" s="1"/>
      <c r="M106" s="1" t="s">
        <v>133</v>
      </c>
      <c r="N106" s="1" t="s">
        <v>134</v>
      </c>
      <c r="O106" s="20" t="s">
        <v>338</v>
      </c>
      <c r="P106" s="1"/>
      <c r="Q106" s="14">
        <v>7.63</v>
      </c>
      <c r="R106" s="14">
        <f>(SUM(D106:G106,I106))*Q106</f>
        <v>7.63</v>
      </c>
      <c r="S106" s="1">
        <v>2</v>
      </c>
      <c r="T106">
        <f>+Tableau1[[#This Row],[DELAIS (w)]]*7</f>
        <v>14</v>
      </c>
      <c r="U106">
        <v>43</v>
      </c>
      <c r="V106">
        <v>43</v>
      </c>
      <c r="W106">
        <f>(Tableau1[[#This Row],[DELAIS (w)]]+2)*(2.5*SUM(Tableau1[[#This Row],[086401 - Train mobile équipé pour DIPRO 3x]:[086885 - Ensemble Codeur - DIPRO 3x]]))</f>
        <v>20</v>
      </c>
      <c r="X106">
        <f>+Tableau1[[#This Row],[STOCK disponible]]/(SUM(Tableau1[[#This Row],[086401 - Train mobile équipé pour DIPRO 3x]:[086885 - Ensemble Codeur - DIPRO 3x]])*2.5)</f>
        <v>8.6</v>
      </c>
      <c r="Y106" s="9">
        <f ca="1">TODAY()+(Tableau1[[#This Row],[COUVERTURE W (capa 2,5M/S)]]*7)</f>
        <v>46279.199999999997</v>
      </c>
      <c r="Z106" s="9" t="str">
        <f>IF(Tableau1[[#This Row],[STOCK disponible]]&lt;Tableau1[[#This Row],[SEUIL]],"A COMMANDER","")</f>
        <v/>
      </c>
      <c r="AC106" s="25"/>
      <c r="AD106" s="9" t="str">
        <f>IF(ISBLANK(Tableau1[[#This Row],[date de livraison réappro]]),"",(IF(Tableau1[[#This Row],[date de livraison réappro]]&lt;Tableau1[[#This Row],[date de rupture estimé]],"OK","RUPTURE")))</f>
        <v/>
      </c>
      <c r="AE106" s="17">
        <v>9</v>
      </c>
      <c r="AG106" s="44"/>
      <c r="AM106" s="12"/>
      <c r="AN106" s="12"/>
      <c r="AO106" s="12"/>
      <c r="AP106" s="12"/>
      <c r="AQ106" s="12"/>
      <c r="AR106" s="12"/>
      <c r="AS106" s="12"/>
    </row>
    <row r="107" spans="1:45" hidden="1">
      <c r="A107" s="20">
        <v>100115</v>
      </c>
      <c r="B107" t="s">
        <v>339</v>
      </c>
      <c r="D107" s="32"/>
      <c r="E107" s="32"/>
      <c r="F107" s="32">
        <v>2</v>
      </c>
      <c r="G107" s="32"/>
      <c r="H107" s="1"/>
      <c r="I107" s="32"/>
      <c r="J107" s="1"/>
      <c r="K107" s="1"/>
      <c r="L107" s="1"/>
      <c r="M107" s="1" t="s">
        <v>133</v>
      </c>
      <c r="N107" s="1" t="s">
        <v>134</v>
      </c>
      <c r="O107" s="1" t="s">
        <v>340</v>
      </c>
      <c r="P107" s="1">
        <v>60</v>
      </c>
      <c r="Q107" s="14">
        <v>3.62</v>
      </c>
      <c r="R107" s="14">
        <f>(SUM(D107:G107,I107))*Q107</f>
        <v>7.24</v>
      </c>
      <c r="S107" s="1">
        <v>2</v>
      </c>
      <c r="T107">
        <f>+Tableau1[[#This Row],[DELAIS (w)]]*7</f>
        <v>14</v>
      </c>
      <c r="U107">
        <v>82</v>
      </c>
      <c r="V107">
        <v>82</v>
      </c>
      <c r="W107">
        <f>(Tableau1[[#This Row],[DELAIS (w)]]+2)*(2.5*SUM(Tableau1[[#This Row],[086401 - Train mobile équipé pour DIPRO 3x]:[086885 - Ensemble Codeur - DIPRO 3x]]))</f>
        <v>20</v>
      </c>
      <c r="X107">
        <f>+Tableau1[[#This Row],[STOCK disponible]]/(SUM(Tableau1[[#This Row],[086401 - Train mobile équipé pour DIPRO 3x]:[086885 - Ensemble Codeur - DIPRO 3x]])*2.5)</f>
        <v>16.399999999999999</v>
      </c>
      <c r="Y107" s="9">
        <f ca="1">TODAY()+(Tableau1[[#This Row],[COUVERTURE W (capa 2,5M/S)]]*7)</f>
        <v>46333.8</v>
      </c>
      <c r="Z107" s="9" t="str">
        <f>IF(Tableau1[[#This Row],[STOCK disponible]]&lt;Tableau1[[#This Row],[SEUIL]],"A COMMANDER","")</f>
        <v/>
      </c>
      <c r="AC107" s="25"/>
      <c r="AD107" s="9" t="str">
        <f>IF(ISBLANK(Tableau1[[#This Row],[date de livraison réappro]]),"",(IF(Tableau1[[#This Row],[date de livraison réappro]]&lt;Tableau1[[#This Row],[date de rupture estimé]],"OK","RUPTURE")))</f>
        <v/>
      </c>
      <c r="AE107" s="17">
        <v>0</v>
      </c>
      <c r="AG107" s="44"/>
      <c r="AM107" s="12"/>
      <c r="AN107" s="12"/>
      <c r="AO107" s="12"/>
      <c r="AP107" s="12"/>
      <c r="AQ107" s="12"/>
      <c r="AR107" s="12"/>
      <c r="AS107" s="12"/>
    </row>
    <row r="108" spans="1:45" hidden="1">
      <c r="A108" s="20" t="s">
        <v>341</v>
      </c>
      <c r="B108" s="1" t="s">
        <v>342</v>
      </c>
      <c r="C108" s="1"/>
      <c r="D108" s="32"/>
      <c r="E108" s="32"/>
      <c r="F108" s="32"/>
      <c r="G108" s="32"/>
      <c r="H108" s="1"/>
      <c r="I108" s="32">
        <v>1</v>
      </c>
      <c r="J108" s="1"/>
      <c r="K108" s="1"/>
      <c r="L108" s="1"/>
      <c r="M108" s="1" t="s">
        <v>133</v>
      </c>
      <c r="N108" s="1" t="s">
        <v>343</v>
      </c>
      <c r="O108" s="1">
        <v>7372</v>
      </c>
      <c r="P108" s="1"/>
      <c r="Q108" s="14">
        <v>6.73</v>
      </c>
      <c r="R108" s="14">
        <f>(SUM(D108:G108,I108))*Q108</f>
        <v>6.73</v>
      </c>
      <c r="S108" s="1">
        <v>2</v>
      </c>
      <c r="T108">
        <f>+Tableau1[[#This Row],[DELAIS (w)]]*7</f>
        <v>14</v>
      </c>
      <c r="U108">
        <v>58</v>
      </c>
      <c r="V108">
        <v>58</v>
      </c>
      <c r="W108">
        <f>(Tableau1[[#This Row],[DELAIS (w)]]+2)*(2.5*SUM(Tableau1[[#This Row],[086401 - Train mobile équipé pour DIPRO 3x]:[086885 - Ensemble Codeur - DIPRO 3x]]))</f>
        <v>10</v>
      </c>
      <c r="X108">
        <f>+Tableau1[[#This Row],[STOCK disponible]]/(SUM(Tableau1[[#This Row],[086401 - Train mobile équipé pour DIPRO 3x]:[086885 - Ensemble Codeur - DIPRO 3x]])*2.5)</f>
        <v>23.2</v>
      </c>
      <c r="Y108" s="9">
        <f ca="1">TODAY()+(Tableau1[[#This Row],[COUVERTURE W (capa 2,5M/S)]]*7)</f>
        <v>46381.4</v>
      </c>
      <c r="Z108" s="9" t="str">
        <f>IF(Tableau1[[#This Row],[STOCK disponible]]&lt;Tableau1[[#This Row],[SEUIL]],"A COMMANDER","")</f>
        <v/>
      </c>
      <c r="AD108" s="9" t="str">
        <f>IF(ISBLANK(Tableau1[[#This Row],[date de livraison réappro]]),"",(IF(Tableau1[[#This Row],[date de livraison réappro]]&lt;Tableau1[[#This Row],[date de rupture estimé]],"OK","RUPTURE")))</f>
        <v/>
      </c>
      <c r="AE108" s="17">
        <v>8</v>
      </c>
      <c r="AG108" s="44"/>
      <c r="AM108" s="12"/>
      <c r="AN108" s="12"/>
      <c r="AO108" s="12"/>
      <c r="AP108" s="12"/>
      <c r="AQ108" s="12"/>
      <c r="AR108" s="12"/>
      <c r="AS108" s="12"/>
    </row>
    <row r="109" spans="1:45" hidden="1">
      <c r="A109" s="20" t="s">
        <v>344</v>
      </c>
      <c r="B109" s="1" t="s">
        <v>345</v>
      </c>
      <c r="C109" s="1" t="s">
        <v>330</v>
      </c>
      <c r="D109" s="32"/>
      <c r="E109" s="32"/>
      <c r="F109" s="32">
        <v>1</v>
      </c>
      <c r="G109" s="32"/>
      <c r="H109" s="1"/>
      <c r="I109" s="32"/>
      <c r="J109" s="1"/>
      <c r="K109" s="1"/>
      <c r="L109" s="1"/>
      <c r="M109" s="1" t="s">
        <v>142</v>
      </c>
      <c r="N109" s="1" t="s">
        <v>107</v>
      </c>
      <c r="O109" s="1"/>
      <c r="P109" s="1">
        <v>30</v>
      </c>
      <c r="Q109" s="14">
        <v>6.32</v>
      </c>
      <c r="R109" s="14">
        <f>(SUM(D109:G109,I109))*Q109</f>
        <v>6.32</v>
      </c>
      <c r="S109" s="1">
        <v>12</v>
      </c>
      <c r="T109">
        <f>+Tableau1[[#This Row],[DELAIS (w)]]*7</f>
        <v>84</v>
      </c>
      <c r="U109">
        <v>11</v>
      </c>
      <c r="V109">
        <v>11</v>
      </c>
      <c r="W109">
        <f>(Tableau1[[#This Row],[DELAIS (w)]]+2)*(2.5*SUM(Tableau1[[#This Row],[086401 - Train mobile équipé pour DIPRO 3x]:[086885 - Ensemble Codeur - DIPRO 3x]]))</f>
        <v>35</v>
      </c>
      <c r="X109">
        <f>+Tableau1[[#This Row],[STOCK disponible]]/(SUM(Tableau1[[#This Row],[086401 - Train mobile équipé pour DIPRO 3x]:[086885 - Ensemble Codeur - DIPRO 3x]])*2.5)</f>
        <v>4.4000000000000004</v>
      </c>
      <c r="Y109" s="9">
        <f ca="1">TODAY()+(Tableau1[[#This Row],[COUVERTURE W (capa 2,5M/S)]]*7)</f>
        <v>46249.8</v>
      </c>
      <c r="Z109" s="9" t="str">
        <f>IF(Tableau1[[#This Row],[STOCK disponible]]&lt;Tableau1[[#This Row],[SEUIL]],"A COMMANDER","")</f>
        <v>A COMMANDER</v>
      </c>
      <c r="AA109">
        <v>30</v>
      </c>
      <c r="AB109" t="s">
        <v>108</v>
      </c>
      <c r="AC109" s="9">
        <v>45429</v>
      </c>
      <c r="AD109" s="9" t="str">
        <f ca="1">IF(ISBLANK(Tableau1[[#This Row],[date de livraison réappro]]),"",(IF(Tableau1[[#This Row],[date de livraison réappro]]&lt;Tableau1[[#This Row],[date de rupture estimé]],"OK","RUPTURE")))</f>
        <v>OK</v>
      </c>
      <c r="AE109" s="17">
        <v>15</v>
      </c>
      <c r="AG109" s="44"/>
      <c r="AM109" s="12"/>
      <c r="AN109" s="12"/>
      <c r="AO109" s="12"/>
      <c r="AP109" s="12"/>
      <c r="AQ109" s="12">
        <f>Tableau1[[#This Row],[tot tarif ligne]]</f>
        <v>6.32</v>
      </c>
      <c r="AR109" s="12"/>
      <c r="AS109" s="12"/>
    </row>
    <row r="110" spans="1:45" hidden="1">
      <c r="A110" s="20" t="s">
        <v>346</v>
      </c>
      <c r="B110" s="1" t="s">
        <v>347</v>
      </c>
      <c r="C110" s="1" t="s">
        <v>330</v>
      </c>
      <c r="D110" s="32"/>
      <c r="E110" s="32"/>
      <c r="F110" s="32">
        <v>1</v>
      </c>
      <c r="G110" s="32"/>
      <c r="H110" s="1"/>
      <c r="I110" s="32"/>
      <c r="J110" s="1"/>
      <c r="K110" s="1"/>
      <c r="L110" s="1"/>
      <c r="M110" s="1" t="s">
        <v>142</v>
      </c>
      <c r="N110" s="1" t="s">
        <v>107</v>
      </c>
      <c r="O110" s="1"/>
      <c r="P110" s="1">
        <v>30</v>
      </c>
      <c r="Q110" s="14">
        <v>3.45</v>
      </c>
      <c r="R110" s="14">
        <f>(SUM(D110:G110,I110))*Q110</f>
        <v>3.45</v>
      </c>
      <c r="S110" s="1">
        <v>12</v>
      </c>
      <c r="T110">
        <f>+Tableau1[[#This Row],[DELAIS (w)]]*7</f>
        <v>84</v>
      </c>
      <c r="U110">
        <v>11</v>
      </c>
      <c r="V110">
        <v>11</v>
      </c>
      <c r="W110">
        <f>(Tableau1[[#This Row],[DELAIS (w)]]+2)*(2.5*SUM(Tableau1[[#This Row],[086401 - Train mobile équipé pour DIPRO 3x]:[086885 - Ensemble Codeur - DIPRO 3x]]))</f>
        <v>35</v>
      </c>
      <c r="X110">
        <f>+Tableau1[[#This Row],[STOCK disponible]]/(SUM(Tableau1[[#This Row],[086401 - Train mobile équipé pour DIPRO 3x]:[086885 - Ensemble Codeur - DIPRO 3x]])*2.5)</f>
        <v>4.4000000000000004</v>
      </c>
      <c r="Y110" s="9">
        <f ca="1">TODAY()+(Tableau1[[#This Row],[COUVERTURE W (capa 2,5M/S)]]*7)</f>
        <v>46249.8</v>
      </c>
      <c r="Z110" s="9" t="str">
        <f>IF(Tableau1[[#This Row],[STOCK disponible]]&lt;Tableau1[[#This Row],[SEUIL]],"A COMMANDER","")</f>
        <v>A COMMANDER</v>
      </c>
      <c r="AA110">
        <v>30</v>
      </c>
      <c r="AB110" t="s">
        <v>108</v>
      </c>
      <c r="AC110" s="9">
        <v>45429</v>
      </c>
      <c r="AD110" s="9" t="str">
        <f ca="1">IF(ISBLANK(Tableau1[[#This Row],[date de livraison réappro]]),"",(IF(Tableau1[[#This Row],[date de livraison réappro]]&lt;Tableau1[[#This Row],[date de rupture estimé]],"OK","RUPTURE")))</f>
        <v>OK</v>
      </c>
      <c r="AE110" s="17">
        <v>15</v>
      </c>
      <c r="AG110" s="44"/>
      <c r="AM110" s="12"/>
      <c r="AN110" s="12"/>
      <c r="AO110" s="12"/>
      <c r="AP110" s="12"/>
      <c r="AQ110" s="12">
        <f>Tableau1[[#This Row],[tot tarif ligne]]</f>
        <v>3.45</v>
      </c>
      <c r="AR110" s="12"/>
      <c r="AS110" s="12"/>
    </row>
    <row r="111" spans="1:45" hidden="1">
      <c r="A111" s="20" t="s">
        <v>348</v>
      </c>
      <c r="B111" s="1" t="s">
        <v>349</v>
      </c>
      <c r="C111" s="1"/>
      <c r="D111" s="32">
        <v>1</v>
      </c>
      <c r="E111" s="32">
        <v>1</v>
      </c>
      <c r="F111" s="32"/>
      <c r="G111" s="32"/>
      <c r="H111" s="1"/>
      <c r="I111" s="32"/>
      <c r="J111" s="1"/>
      <c r="K111" s="1"/>
      <c r="L111" s="1"/>
      <c r="M111" s="1" t="s">
        <v>350</v>
      </c>
      <c r="N111" s="1" t="s">
        <v>351</v>
      </c>
      <c r="O111" s="1"/>
      <c r="P111" s="1"/>
      <c r="Q111" s="14">
        <v>1.6</v>
      </c>
      <c r="R111" s="14">
        <f>(SUM(D111:G111,I111))*Q111</f>
        <v>3.2</v>
      </c>
      <c r="S111" s="1"/>
      <c r="T111">
        <f>+Tableau1[[#This Row],[DELAIS (w)]]*7</f>
        <v>0</v>
      </c>
      <c r="U111">
        <v>991</v>
      </c>
      <c r="V111">
        <v>991</v>
      </c>
      <c r="W111">
        <f>(Tableau1[[#This Row],[DELAIS (w)]]+2)*(2.5*SUM(Tableau1[[#This Row],[086401 - Train mobile équipé pour DIPRO 3x]:[086885 - Ensemble Codeur - DIPRO 3x]]))</f>
        <v>10</v>
      </c>
      <c r="X111">
        <f>+Tableau1[[#This Row],[STOCK disponible]]/(SUM(Tableau1[[#This Row],[086401 - Train mobile équipé pour DIPRO 3x]:[086885 - Ensemble Codeur - DIPRO 3x]])*2.5)</f>
        <v>198.2</v>
      </c>
      <c r="Y111" s="9">
        <f ca="1">TODAY()+(Tableau1[[#This Row],[COUVERTURE W (capa 2,5M/S)]]*7)</f>
        <v>47606.400000000001</v>
      </c>
      <c r="Z111" s="9" t="str">
        <f>IF(Tableau1[[#This Row],[STOCK disponible]]&lt;Tableau1[[#This Row],[SEUIL]],"A COMMANDER","")</f>
        <v/>
      </c>
      <c r="AD111" s="9" t="str">
        <f>IF(ISBLANK(Tableau1[[#This Row],[date de livraison réappro]]),"",(IF(Tableau1[[#This Row],[date de livraison réappro]]&lt;Tableau1[[#This Row],[date de rupture estimé]],"OK","RUPTURE")))</f>
        <v/>
      </c>
      <c r="AE111" s="17">
        <v>138</v>
      </c>
      <c r="AG111" s="44"/>
      <c r="AM111" s="12"/>
      <c r="AN111" s="12"/>
      <c r="AO111" s="12"/>
      <c r="AP111" s="12"/>
      <c r="AQ111" s="12"/>
      <c r="AR111" s="12"/>
      <c r="AS111" s="12"/>
    </row>
    <row r="112" spans="1:45" hidden="1">
      <c r="A112" s="20" t="s">
        <v>352</v>
      </c>
      <c r="B112" t="s">
        <v>353</v>
      </c>
      <c r="C112" t="s">
        <v>60</v>
      </c>
      <c r="D112" s="32"/>
      <c r="E112" s="29">
        <v>2</v>
      </c>
      <c r="F112" s="32"/>
      <c r="G112" s="32"/>
      <c r="H112" s="1"/>
      <c r="I112" s="32"/>
      <c r="J112" s="1"/>
      <c r="K112" s="1"/>
      <c r="L112" s="1"/>
      <c r="M112" s="1"/>
      <c r="N112" s="1" t="s">
        <v>61</v>
      </c>
      <c r="O112" s="1"/>
      <c r="P112" s="1">
        <v>40</v>
      </c>
      <c r="Q112" s="14">
        <v>1.2</v>
      </c>
      <c r="R112" s="14">
        <f>(SUM(D112:G112,I112))*Q112</f>
        <v>2.4</v>
      </c>
      <c r="S112" s="1"/>
      <c r="T112">
        <f>+Tableau1[[#This Row],[DELAIS (w)]]*7</f>
        <v>0</v>
      </c>
      <c r="U112"/>
      <c r="W112">
        <f>(Tableau1[[#This Row],[DELAIS (w)]]+2)*(2*SUM(Tableau1[[#This Row],[086401 - Train mobile équipé pour DIPRO 3x]:[086885 - Ensemble Codeur - DIPRO 3x]]))</f>
        <v>8</v>
      </c>
      <c r="X112">
        <f>+Tableau1[[#This Row],[STOCK disponible]]/(SUM(Tableau1[[#This Row],[086401 - Train mobile équipé pour DIPRO 3x]:[086885 - Ensemble Codeur - DIPRO 3x]])*2.5)</f>
        <v>0</v>
      </c>
      <c r="Y112" s="9">
        <f ca="1">TODAY()+(Tableau1[[#This Row],[COUVERTURE W (capa 2,5M/S)]]*7)</f>
        <v>46219</v>
      </c>
      <c r="Z112" s="9"/>
      <c r="AD112" s="9" t="str">
        <f>IF(ISBLANK(Tableau1[[#This Row],[date de livraison réappro]]),"",(IF(Tableau1[[#This Row],[date de livraison réappro]]&lt;Tableau1[[#This Row],[date de rupture estimé]],"OK","RUPTURE")))</f>
        <v/>
      </c>
      <c r="AE112" s="16"/>
      <c r="AG112" s="44"/>
      <c r="AM112" s="12"/>
      <c r="AN112" s="12"/>
      <c r="AO112" s="12"/>
      <c r="AP112" s="12"/>
      <c r="AQ112" s="12"/>
      <c r="AR112" s="12">
        <f>Tableau1[[#This Row],[tot tarif ligne]]</f>
        <v>2.4</v>
      </c>
      <c r="AS112" s="12"/>
    </row>
    <row r="113" spans="1:45" hidden="1">
      <c r="A113" s="20" t="s">
        <v>354</v>
      </c>
      <c r="B113" t="s">
        <v>355</v>
      </c>
      <c r="C113" t="s">
        <v>60</v>
      </c>
      <c r="D113" s="32"/>
      <c r="E113" s="29">
        <v>2</v>
      </c>
      <c r="F113" s="32"/>
      <c r="G113" s="32"/>
      <c r="H113" s="1"/>
      <c r="I113" s="32"/>
      <c r="J113" s="1"/>
      <c r="K113" s="1"/>
      <c r="L113" s="1"/>
      <c r="M113" s="1"/>
      <c r="N113" s="1" t="s">
        <v>61</v>
      </c>
      <c r="O113" s="1"/>
      <c r="P113" s="1">
        <v>40</v>
      </c>
      <c r="Q113" s="14">
        <v>1.2</v>
      </c>
      <c r="R113" s="14">
        <f>(SUM(D113:G113,I113))*Q113</f>
        <v>2.4</v>
      </c>
      <c r="S113" s="1"/>
      <c r="T113">
        <f>+Tableau1[[#This Row],[DELAIS (w)]]*7</f>
        <v>0</v>
      </c>
      <c r="U113"/>
      <c r="W113">
        <f>(Tableau1[[#This Row],[DELAIS (w)]]+2)*(2*SUM(Tableau1[[#This Row],[086401 - Train mobile équipé pour DIPRO 3x]:[086885 - Ensemble Codeur - DIPRO 3x]]))</f>
        <v>8</v>
      </c>
      <c r="X113">
        <f>+Tableau1[[#This Row],[STOCK disponible]]/(SUM(Tableau1[[#This Row],[086401 - Train mobile équipé pour DIPRO 3x]:[086885 - Ensemble Codeur - DIPRO 3x]])*2.5)</f>
        <v>0</v>
      </c>
      <c r="Y113" s="9">
        <f ca="1">TODAY()+(Tableau1[[#This Row],[COUVERTURE W (capa 2,5M/S)]]*7)</f>
        <v>46219</v>
      </c>
      <c r="Z113" s="9"/>
      <c r="AD113" s="9" t="str">
        <f>IF(ISBLANK(Tableau1[[#This Row],[date de livraison réappro]]),"",(IF(Tableau1[[#This Row],[date de livraison réappro]]&lt;Tableau1[[#This Row],[date de rupture estimé]],"OK","RUPTURE")))</f>
        <v/>
      </c>
      <c r="AE113" s="16"/>
      <c r="AG113" s="44"/>
      <c r="AM113" s="12"/>
      <c r="AN113" s="12"/>
      <c r="AO113" s="12"/>
      <c r="AP113" s="12"/>
      <c r="AQ113" s="12"/>
      <c r="AR113" s="12">
        <f>Tableau1[[#This Row],[tot tarif ligne]]</f>
        <v>2.4</v>
      </c>
      <c r="AS113" s="12"/>
    </row>
    <row r="114" spans="1:45" hidden="1">
      <c r="A114" s="20" t="s">
        <v>356</v>
      </c>
      <c r="B114" t="s">
        <v>357</v>
      </c>
      <c r="C114" t="s">
        <v>60</v>
      </c>
      <c r="D114" s="29">
        <v>2</v>
      </c>
      <c r="E114" s="32"/>
      <c r="F114" s="32"/>
      <c r="G114" s="32"/>
      <c r="H114" s="1"/>
      <c r="I114" s="32"/>
      <c r="J114" s="1"/>
      <c r="K114" s="1"/>
      <c r="L114" s="1"/>
      <c r="M114" s="1"/>
      <c r="N114" s="1" t="s">
        <v>61</v>
      </c>
      <c r="O114" s="1"/>
      <c r="P114" s="1">
        <v>40</v>
      </c>
      <c r="Q114" s="14">
        <v>1.2</v>
      </c>
      <c r="R114" s="14">
        <f>(SUM(D114:G114,I114))*Q114</f>
        <v>2.4</v>
      </c>
      <c r="S114" s="1"/>
      <c r="T114">
        <f>+Tableau1[[#This Row],[DELAIS (w)]]*7</f>
        <v>0</v>
      </c>
      <c r="U114"/>
      <c r="W114">
        <f>(Tableau1[[#This Row],[DELAIS (w)]]+2)*(2*SUM(Tableau1[[#This Row],[086401 - Train mobile équipé pour DIPRO 3x]:[086885 - Ensemble Codeur - DIPRO 3x]]))</f>
        <v>8</v>
      </c>
      <c r="X114">
        <f>+Tableau1[[#This Row],[STOCK disponible]]/(SUM(Tableau1[[#This Row],[086401 - Train mobile équipé pour DIPRO 3x]:[086885 - Ensemble Codeur - DIPRO 3x]])*2.5)</f>
        <v>0</v>
      </c>
      <c r="Y114" s="9">
        <f ca="1">TODAY()+(Tableau1[[#This Row],[COUVERTURE W (capa 2,5M/S)]]*7)</f>
        <v>46219</v>
      </c>
      <c r="Z114" s="9"/>
      <c r="AD114" s="9" t="str">
        <f>IF(ISBLANK(Tableau1[[#This Row],[date de livraison réappro]]),"",(IF(Tableau1[[#This Row],[date de livraison réappro]]&lt;Tableau1[[#This Row],[date de rupture estimé]],"OK","RUPTURE")))</f>
        <v/>
      </c>
      <c r="AE114" s="16"/>
      <c r="AG114" s="44"/>
      <c r="AM114" s="12"/>
      <c r="AN114" s="12"/>
      <c r="AO114" s="12"/>
      <c r="AP114" s="12"/>
      <c r="AQ114" s="12"/>
      <c r="AR114" s="12">
        <f>Tableau1[[#This Row],[tot tarif ligne]]</f>
        <v>2.4</v>
      </c>
      <c r="AS114" s="12"/>
    </row>
    <row r="115" spans="1:45" hidden="1">
      <c r="A115" s="20" t="s">
        <v>358</v>
      </c>
      <c r="B115" s="1" t="s">
        <v>359</v>
      </c>
      <c r="C115" s="1" t="s">
        <v>330</v>
      </c>
      <c r="D115" s="32"/>
      <c r="E115" s="32"/>
      <c r="F115" s="32">
        <v>1</v>
      </c>
      <c r="G115" s="32"/>
      <c r="H115" s="1"/>
      <c r="I115" s="32"/>
      <c r="J115" s="1"/>
      <c r="K115" s="1"/>
      <c r="L115" s="1"/>
      <c r="M115" s="1" t="s">
        <v>142</v>
      </c>
      <c r="N115" s="1" t="s">
        <v>107</v>
      </c>
      <c r="O115" s="1"/>
      <c r="P115" s="1">
        <v>30</v>
      </c>
      <c r="Q115" s="14">
        <v>1.98</v>
      </c>
      <c r="R115" s="14">
        <f>(SUM(D115:G115,I115))*Q115</f>
        <v>1.98</v>
      </c>
      <c r="S115" s="1">
        <v>12</v>
      </c>
      <c r="T115">
        <f>+Tableau1[[#This Row],[DELAIS (w)]]*7</f>
        <v>84</v>
      </c>
      <c r="U115">
        <v>11</v>
      </c>
      <c r="V115">
        <v>11</v>
      </c>
      <c r="W115">
        <f>(Tableau1[[#This Row],[DELAIS (w)]]+2)*(2.5*SUM(Tableau1[[#This Row],[086401 - Train mobile équipé pour DIPRO 3x]:[086885 - Ensemble Codeur - DIPRO 3x]]))</f>
        <v>35</v>
      </c>
      <c r="X115">
        <f>+Tableau1[[#This Row],[STOCK disponible]]/(SUM(Tableau1[[#This Row],[086401 - Train mobile équipé pour DIPRO 3x]:[086885 - Ensemble Codeur - DIPRO 3x]])*2.5)</f>
        <v>4.4000000000000004</v>
      </c>
      <c r="Y115" s="9">
        <f ca="1">TODAY()+(Tableau1[[#This Row],[COUVERTURE W (capa 2,5M/S)]]*7)</f>
        <v>46249.8</v>
      </c>
      <c r="Z115" s="9" t="str">
        <f>IF(Tableau1[[#This Row],[STOCK disponible]]&lt;Tableau1[[#This Row],[SEUIL]],"A COMMANDER","")</f>
        <v>A COMMANDER</v>
      </c>
      <c r="AA115">
        <v>30</v>
      </c>
      <c r="AB115" t="s">
        <v>108</v>
      </c>
      <c r="AC115" s="9">
        <v>45429</v>
      </c>
      <c r="AD115" s="9" t="str">
        <f ca="1">IF(ISBLANK(Tableau1[[#This Row],[date de livraison réappro]]),"",(IF(Tableau1[[#This Row],[date de livraison réappro]]&lt;Tableau1[[#This Row],[date de rupture estimé]],"OK","RUPTURE")))</f>
        <v>OK</v>
      </c>
      <c r="AE115" s="17">
        <v>15</v>
      </c>
      <c r="AG115" s="44"/>
      <c r="AM115" s="12"/>
      <c r="AN115" s="12"/>
      <c r="AO115" s="12"/>
      <c r="AP115" s="12"/>
      <c r="AQ115" s="12">
        <f>Tableau1[[#This Row],[tot tarif ligne]]</f>
        <v>1.98</v>
      </c>
      <c r="AR115" s="12"/>
      <c r="AS115" s="12"/>
    </row>
    <row r="116" spans="1:45" hidden="1">
      <c r="A116" s="20">
        <v>100106</v>
      </c>
      <c r="B116" s="1" t="s">
        <v>360</v>
      </c>
      <c r="C116" s="1" t="s">
        <v>52</v>
      </c>
      <c r="D116" s="32"/>
      <c r="E116" s="32"/>
      <c r="F116" s="32"/>
      <c r="G116" s="32"/>
      <c r="H116" s="1"/>
      <c r="I116" s="32">
        <v>1</v>
      </c>
      <c r="J116" s="1"/>
      <c r="K116" s="1"/>
      <c r="L116" s="1"/>
      <c r="M116" s="1" t="s">
        <v>133</v>
      </c>
      <c r="N116" s="1" t="s">
        <v>343</v>
      </c>
      <c r="O116" s="1">
        <v>33435037</v>
      </c>
      <c r="P116" s="1"/>
      <c r="Q116" s="14">
        <v>1.64</v>
      </c>
      <c r="R116" s="14">
        <f>(SUM(D116:G116,I116))*Q116</f>
        <v>1.64</v>
      </c>
      <c r="S116" s="1">
        <v>2</v>
      </c>
      <c r="T116">
        <f>+Tableau1[[#This Row],[DELAIS (w)]]*7</f>
        <v>14</v>
      </c>
      <c r="U116">
        <v>46</v>
      </c>
      <c r="V116">
        <v>46</v>
      </c>
      <c r="W116">
        <f>(Tableau1[[#This Row],[DELAIS (w)]]+2)*(2.5*SUM(Tableau1[[#This Row],[086401 - Train mobile équipé pour DIPRO 3x]:[086885 - Ensemble Codeur - DIPRO 3x]]))</f>
        <v>10</v>
      </c>
      <c r="X116">
        <f>+Tableau1[[#This Row],[STOCK disponible]]/(SUM(Tableau1[[#This Row],[086401 - Train mobile équipé pour DIPRO 3x]:[086885 - Ensemble Codeur - DIPRO 3x]])*2.5)</f>
        <v>18.399999999999999</v>
      </c>
      <c r="Y116" s="9">
        <f ca="1">TODAY()+(Tableau1[[#This Row],[COUVERTURE W (capa 2,5M/S)]]*7)</f>
        <v>46347.8</v>
      </c>
      <c r="Z116" s="9" t="str">
        <f>IF(Tableau1[[#This Row],[STOCK disponible]]&lt;Tableau1[[#This Row],[SEUIL]],"A COMMANDER","")</f>
        <v/>
      </c>
      <c r="AD116" s="9" t="str">
        <f>IF(ISBLANK(Tableau1[[#This Row],[date de livraison réappro]]),"",(IF(Tableau1[[#This Row],[date de livraison réappro]]&lt;Tableau1[[#This Row],[date de rupture estimé]],"OK","RUPTURE")))</f>
        <v/>
      </c>
      <c r="AE116" s="17">
        <v>42</v>
      </c>
      <c r="AG116" s="44"/>
      <c r="AM116" s="12"/>
      <c r="AN116" s="12"/>
      <c r="AO116" s="12"/>
      <c r="AP116" s="12"/>
      <c r="AQ116" s="12"/>
      <c r="AR116" s="12"/>
      <c r="AS116" s="12"/>
    </row>
    <row r="117" spans="1:45" hidden="1">
      <c r="A117" s="20" t="s">
        <v>361</v>
      </c>
      <c r="B117" t="s">
        <v>362</v>
      </c>
      <c r="F117" s="29">
        <v>2</v>
      </c>
      <c r="M117" t="s">
        <v>308</v>
      </c>
      <c r="N117" t="s">
        <v>363</v>
      </c>
      <c r="O117" t="s">
        <v>364</v>
      </c>
      <c r="P117">
        <v>50</v>
      </c>
      <c r="Q117" s="12">
        <v>0.76649999999999996</v>
      </c>
      <c r="R117" s="14">
        <f>(SUM(D117:G117,I117))*Q117</f>
        <v>1.5329999999999999</v>
      </c>
      <c r="S117">
        <v>2</v>
      </c>
      <c r="T117">
        <f>+Tableau1[[#This Row],[DELAIS (w)]]*7</f>
        <v>14</v>
      </c>
      <c r="U117"/>
      <c r="Y117" s="9"/>
      <c r="Z117" s="9"/>
      <c r="AD117" s="9" t="str">
        <f>IF(ISBLANK(Tableau1[[#This Row],[date de livraison réappro]]),"",(IF(Tableau1[[#This Row],[date de livraison réappro]]&lt;Tableau1[[#This Row],[date de rupture estimé]],"OK","RUPTURE")))</f>
        <v/>
      </c>
      <c r="AE117" s="16"/>
      <c r="AG117" s="44"/>
      <c r="AM117" s="12"/>
      <c r="AN117" s="12"/>
      <c r="AO117" s="12"/>
      <c r="AP117" s="12"/>
      <c r="AQ117" s="12"/>
      <c r="AR117" s="12"/>
      <c r="AS117" s="12"/>
    </row>
    <row r="118" spans="1:45" hidden="1">
      <c r="A118" s="20" t="s">
        <v>365</v>
      </c>
      <c r="B118" s="1" t="s">
        <v>366</v>
      </c>
      <c r="C118" s="1"/>
      <c r="D118" s="32"/>
      <c r="E118" s="32">
        <v>1</v>
      </c>
      <c r="F118" s="32"/>
      <c r="G118" s="32"/>
      <c r="H118" s="1"/>
      <c r="I118" s="32"/>
      <c r="J118" s="1"/>
      <c r="K118" s="1"/>
      <c r="L118" s="1"/>
      <c r="M118" s="1" t="s">
        <v>350</v>
      </c>
      <c r="N118" s="1" t="s">
        <v>367</v>
      </c>
      <c r="O118" s="1"/>
      <c r="P118" s="1">
        <v>120</v>
      </c>
      <c r="Q118" s="14">
        <v>1.5</v>
      </c>
      <c r="R118" s="14">
        <f>(SUM(D118:G118,I118))*Q118</f>
        <v>1.5</v>
      </c>
      <c r="S118" s="1">
        <v>2</v>
      </c>
      <c r="T118">
        <f>+Tableau1[[#This Row],[DELAIS (w)]]*7</f>
        <v>14</v>
      </c>
      <c r="U118">
        <v>106</v>
      </c>
      <c r="V118">
        <v>106</v>
      </c>
      <c r="W118">
        <f>(Tableau1[[#This Row],[DELAIS (w)]]+2)*(2.5*SUM(Tableau1[[#This Row],[086401 - Train mobile équipé pour DIPRO 3x]:[086885 - Ensemble Codeur - DIPRO 3x]]))</f>
        <v>10</v>
      </c>
      <c r="X118">
        <f>+Tableau1[[#This Row],[STOCK disponible]]/(SUM(Tableau1[[#This Row],[086401 - Train mobile équipé pour DIPRO 3x]:[086885 - Ensemble Codeur - DIPRO 3x]])*2.5)</f>
        <v>42.4</v>
      </c>
      <c r="Y118" s="9">
        <f ca="1">TODAY()+(Tableau1[[#This Row],[COUVERTURE W (capa 2,5M/S)]]*7)</f>
        <v>46515.8</v>
      </c>
      <c r="Z118" s="9" t="str">
        <f>IF(Tableau1[[#This Row],[STOCK disponible]]&lt;Tableau1[[#This Row],[SEUIL]],"A COMMANDER","")</f>
        <v/>
      </c>
      <c r="AD118" s="9" t="str">
        <f>IF(ISBLANK(Tableau1[[#This Row],[date de livraison réappro]]),"",(IF(Tableau1[[#This Row],[date de livraison réappro]]&lt;Tableau1[[#This Row],[date de rupture estimé]],"OK","RUPTURE")))</f>
        <v/>
      </c>
      <c r="AE118" s="17">
        <v>126</v>
      </c>
      <c r="AG118" s="44"/>
      <c r="AM118" s="12"/>
      <c r="AN118" s="12"/>
      <c r="AO118" s="12"/>
      <c r="AP118" s="12"/>
      <c r="AQ118" s="12"/>
      <c r="AR118" s="12"/>
      <c r="AS118" s="12"/>
    </row>
    <row r="119" spans="1:45" hidden="1">
      <c r="A119" s="20" t="s">
        <v>368</v>
      </c>
      <c r="B119" s="2" t="s">
        <v>369</v>
      </c>
      <c r="C119" s="2"/>
      <c r="D119" s="29">
        <v>29</v>
      </c>
      <c r="E119" s="29">
        <v>29</v>
      </c>
      <c r="F119" s="32">
        <v>8</v>
      </c>
      <c r="G119" s="32"/>
      <c r="H119" s="1"/>
      <c r="I119" s="32"/>
      <c r="J119" s="1"/>
      <c r="K119" s="1"/>
      <c r="L119" s="1"/>
      <c r="M119" t="s">
        <v>308</v>
      </c>
      <c r="N119" t="s">
        <v>363</v>
      </c>
      <c r="O119" t="s">
        <v>370</v>
      </c>
      <c r="P119">
        <v>200</v>
      </c>
      <c r="Q119" s="12">
        <v>2.2100000000000002E-2</v>
      </c>
      <c r="R119" s="14">
        <f>(SUM(D119:G119,I119))*Q119</f>
        <v>1.4586000000000001</v>
      </c>
      <c r="S119">
        <v>2</v>
      </c>
      <c r="T119">
        <f>+Tableau1[[#This Row],[DELAIS (w)]]*7</f>
        <v>14</v>
      </c>
      <c r="U119"/>
      <c r="Y119" s="9"/>
      <c r="Z119" s="9"/>
      <c r="AD119" s="9" t="str">
        <f>IF(ISBLANK(Tableau1[[#This Row],[date de livraison réappro]]),"",(IF(Tableau1[[#This Row],[date de livraison réappro]]&lt;Tableau1[[#This Row],[date de rupture estimé]],"OK","RUPTURE")))</f>
        <v/>
      </c>
      <c r="AE119" s="16"/>
      <c r="AG119" s="44"/>
      <c r="AM119" s="12"/>
      <c r="AN119" s="12"/>
      <c r="AO119" s="12"/>
      <c r="AP119" s="12"/>
      <c r="AQ119" s="12"/>
      <c r="AR119" s="12"/>
      <c r="AS119" s="12"/>
    </row>
    <row r="120" spans="1:45" hidden="1">
      <c r="A120" s="20" t="s">
        <v>371</v>
      </c>
      <c r="B120" t="s">
        <v>372</v>
      </c>
      <c r="C120" t="s">
        <v>60</v>
      </c>
      <c r="D120" s="32"/>
      <c r="E120" s="29">
        <v>1</v>
      </c>
      <c r="F120" s="32"/>
      <c r="G120" s="32"/>
      <c r="H120" s="1"/>
      <c r="I120" s="32"/>
      <c r="J120" s="1"/>
      <c r="K120" s="1"/>
      <c r="L120" s="1"/>
      <c r="M120" s="1"/>
      <c r="N120" s="1" t="s">
        <v>61</v>
      </c>
      <c r="O120" s="1"/>
      <c r="P120" s="1">
        <v>20</v>
      </c>
      <c r="Q120" s="14">
        <v>1.4</v>
      </c>
      <c r="R120" s="14">
        <f>(SUM(D120:G120,I120))*Q120</f>
        <v>1.4</v>
      </c>
      <c r="S120" s="1"/>
      <c r="T120">
        <f>+Tableau1[[#This Row],[DELAIS (w)]]*7</f>
        <v>0</v>
      </c>
      <c r="U120"/>
      <c r="W120">
        <f>(Tableau1[[#This Row],[DELAIS (w)]]+2)*(2*SUM(Tableau1[[#This Row],[086401 - Train mobile équipé pour DIPRO 3x]:[086885 - Ensemble Codeur - DIPRO 3x]]))</f>
        <v>4</v>
      </c>
      <c r="X120">
        <f>+Tableau1[[#This Row],[STOCK disponible]]/(SUM(Tableau1[[#This Row],[086401 - Train mobile équipé pour DIPRO 3x]:[086885 - Ensemble Codeur - DIPRO 3x]])*2.5)</f>
        <v>0</v>
      </c>
      <c r="Y120" s="9">
        <f ca="1">TODAY()+(Tableau1[[#This Row],[COUVERTURE W (capa 2,5M/S)]]*7)</f>
        <v>46219</v>
      </c>
      <c r="Z120" s="9"/>
      <c r="AD120" s="9" t="str">
        <f>IF(ISBLANK(Tableau1[[#This Row],[date de livraison réappro]]),"",(IF(Tableau1[[#This Row],[date de livraison réappro]]&lt;Tableau1[[#This Row],[date de rupture estimé]],"OK","RUPTURE")))</f>
        <v/>
      </c>
      <c r="AE120" s="16"/>
      <c r="AG120" s="44"/>
      <c r="AM120" s="12"/>
      <c r="AN120" s="12"/>
      <c r="AO120" s="12"/>
      <c r="AP120" s="12"/>
      <c r="AQ120" s="12"/>
      <c r="AR120" s="12">
        <f>Tableau1[[#This Row],[tot tarif ligne]]</f>
        <v>1.4</v>
      </c>
      <c r="AS120" s="12"/>
    </row>
    <row r="121" spans="1:45" hidden="1">
      <c r="A121" s="20" t="s">
        <v>373</v>
      </c>
      <c r="B121" t="s">
        <v>374</v>
      </c>
      <c r="C121" t="s">
        <v>60</v>
      </c>
      <c r="D121" s="32"/>
      <c r="E121" s="29">
        <v>1</v>
      </c>
      <c r="F121" s="32"/>
      <c r="G121" s="32"/>
      <c r="H121" s="1"/>
      <c r="I121" s="32"/>
      <c r="J121" s="1"/>
      <c r="K121" s="1"/>
      <c r="L121" s="1"/>
      <c r="M121" s="1"/>
      <c r="N121" s="1" t="s">
        <v>61</v>
      </c>
      <c r="O121" s="1"/>
      <c r="P121" s="1">
        <v>20</v>
      </c>
      <c r="Q121" s="14">
        <v>1.4</v>
      </c>
      <c r="R121" s="14">
        <f>(SUM(D121:G121,I121))*Q121</f>
        <v>1.4</v>
      </c>
      <c r="S121" s="1"/>
      <c r="T121">
        <f>+Tableau1[[#This Row],[DELAIS (w)]]*7</f>
        <v>0</v>
      </c>
      <c r="U121"/>
      <c r="W121">
        <f>(Tableau1[[#This Row],[DELAIS (w)]]+2)*(2*SUM(Tableau1[[#This Row],[086401 - Train mobile équipé pour DIPRO 3x]:[086885 - Ensemble Codeur - DIPRO 3x]]))</f>
        <v>4</v>
      </c>
      <c r="X121">
        <f>+Tableau1[[#This Row],[STOCK disponible]]/(SUM(Tableau1[[#This Row],[086401 - Train mobile équipé pour DIPRO 3x]:[086885 - Ensemble Codeur - DIPRO 3x]])*2.5)</f>
        <v>0</v>
      </c>
      <c r="Y121" s="9">
        <f ca="1">TODAY()+(Tableau1[[#This Row],[COUVERTURE W (capa 2,5M/S)]]*7)</f>
        <v>46219</v>
      </c>
      <c r="Z121" s="9"/>
      <c r="AD121" s="9" t="str">
        <f>IF(ISBLANK(Tableau1[[#This Row],[date de livraison réappro]]),"",(IF(Tableau1[[#This Row],[date de livraison réappro]]&lt;Tableau1[[#This Row],[date de rupture estimé]],"OK","RUPTURE")))</f>
        <v/>
      </c>
      <c r="AE121" s="16"/>
      <c r="AG121" s="44"/>
      <c r="AM121" s="12"/>
      <c r="AN121" s="12"/>
      <c r="AO121" s="12"/>
      <c r="AP121" s="12"/>
      <c r="AQ121" s="12"/>
      <c r="AR121" s="12">
        <f>Tableau1[[#This Row],[tot tarif ligne]]</f>
        <v>1.4</v>
      </c>
      <c r="AS121" s="12"/>
    </row>
    <row r="122" spans="1:45" hidden="1">
      <c r="A122" s="20" t="s">
        <v>375</v>
      </c>
      <c r="B122" t="s">
        <v>376</v>
      </c>
      <c r="C122" t="s">
        <v>60</v>
      </c>
      <c r="D122" s="32"/>
      <c r="E122" s="29">
        <v>1</v>
      </c>
      <c r="F122" s="32"/>
      <c r="G122" s="32"/>
      <c r="H122" s="1"/>
      <c r="I122" s="32"/>
      <c r="J122" s="1"/>
      <c r="K122" s="1"/>
      <c r="L122" s="1"/>
      <c r="M122" s="1"/>
      <c r="N122" s="1" t="s">
        <v>61</v>
      </c>
      <c r="O122" s="1"/>
      <c r="P122" s="1">
        <v>20</v>
      </c>
      <c r="Q122" s="14">
        <v>1.4</v>
      </c>
      <c r="R122" s="14">
        <f>(SUM(D122:G122,I122))*Q122</f>
        <v>1.4</v>
      </c>
      <c r="S122" s="1"/>
      <c r="T122">
        <f>+Tableau1[[#This Row],[DELAIS (w)]]*7</f>
        <v>0</v>
      </c>
      <c r="U122"/>
      <c r="W122">
        <f>(Tableau1[[#This Row],[DELAIS (w)]]+2)*(2*SUM(Tableau1[[#This Row],[086401 - Train mobile équipé pour DIPRO 3x]:[086885 - Ensemble Codeur - DIPRO 3x]]))</f>
        <v>4</v>
      </c>
      <c r="X122">
        <f>+Tableau1[[#This Row],[STOCK disponible]]/(SUM(Tableau1[[#This Row],[086401 - Train mobile équipé pour DIPRO 3x]:[086885 - Ensemble Codeur - DIPRO 3x]])*2.5)</f>
        <v>0</v>
      </c>
      <c r="Y122" s="9">
        <f ca="1">TODAY()+(Tableau1[[#This Row],[COUVERTURE W (capa 2,5M/S)]]*7)</f>
        <v>46219</v>
      </c>
      <c r="Z122" s="9"/>
      <c r="AD122" s="9" t="str">
        <f>IF(ISBLANK(Tableau1[[#This Row],[date de livraison réappro]]),"",(IF(Tableau1[[#This Row],[date de livraison réappro]]&lt;Tableau1[[#This Row],[date de rupture estimé]],"OK","RUPTURE")))</f>
        <v/>
      </c>
      <c r="AE122" s="16"/>
      <c r="AG122" s="44"/>
      <c r="AM122" s="12"/>
      <c r="AN122" s="12"/>
      <c r="AO122" s="12"/>
      <c r="AP122" s="12"/>
      <c r="AQ122" s="12"/>
      <c r="AR122" s="12">
        <f>Tableau1[[#This Row],[tot tarif ligne]]</f>
        <v>1.4</v>
      </c>
      <c r="AS122" s="12"/>
    </row>
    <row r="123" spans="1:45" hidden="1">
      <c r="A123" s="20" t="s">
        <v>377</v>
      </c>
      <c r="B123" t="s">
        <v>378</v>
      </c>
      <c r="C123" t="s">
        <v>60</v>
      </c>
      <c r="D123" s="29">
        <v>1</v>
      </c>
      <c r="E123" s="32"/>
      <c r="F123" s="32"/>
      <c r="G123" s="32"/>
      <c r="H123" s="1"/>
      <c r="I123" s="32"/>
      <c r="J123" s="1"/>
      <c r="K123" s="1"/>
      <c r="L123" s="1"/>
      <c r="M123" s="1"/>
      <c r="N123" s="1" t="s">
        <v>61</v>
      </c>
      <c r="O123" s="1"/>
      <c r="P123" s="1">
        <v>20</v>
      </c>
      <c r="Q123" s="14">
        <v>1.4</v>
      </c>
      <c r="R123" s="14">
        <f>(SUM(D123:G123,I123))*Q123</f>
        <v>1.4</v>
      </c>
      <c r="S123" s="1"/>
      <c r="T123">
        <f>+Tableau1[[#This Row],[DELAIS (w)]]*7</f>
        <v>0</v>
      </c>
      <c r="U123"/>
      <c r="W123">
        <f>(Tableau1[[#This Row],[DELAIS (w)]]+2)*(2*SUM(Tableau1[[#This Row],[086401 - Train mobile équipé pour DIPRO 3x]:[086885 - Ensemble Codeur - DIPRO 3x]]))</f>
        <v>4</v>
      </c>
      <c r="X123">
        <f>+Tableau1[[#This Row],[STOCK disponible]]/(SUM(Tableau1[[#This Row],[086401 - Train mobile équipé pour DIPRO 3x]:[086885 - Ensemble Codeur - DIPRO 3x]])*2.5)</f>
        <v>0</v>
      </c>
      <c r="Y123" s="9">
        <f ca="1">TODAY()+(Tableau1[[#This Row],[COUVERTURE W (capa 2,5M/S)]]*7)</f>
        <v>46219</v>
      </c>
      <c r="Z123" s="9"/>
      <c r="AD123" s="9" t="str">
        <f>IF(ISBLANK(Tableau1[[#This Row],[date de livraison réappro]]),"",(IF(Tableau1[[#This Row],[date de livraison réappro]]&lt;Tableau1[[#This Row],[date de rupture estimé]],"OK","RUPTURE")))</f>
        <v/>
      </c>
      <c r="AE123" s="16"/>
      <c r="AG123" s="44"/>
      <c r="AM123" s="12"/>
      <c r="AN123" s="12"/>
      <c r="AO123" s="12"/>
      <c r="AP123" s="12"/>
      <c r="AQ123" s="12"/>
      <c r="AR123" s="12">
        <f>Tableau1[[#This Row],[tot tarif ligne]]</f>
        <v>1.4</v>
      </c>
      <c r="AS123" s="12"/>
    </row>
    <row r="124" spans="1:45" hidden="1">
      <c r="A124" s="21">
        <v>100119</v>
      </c>
      <c r="B124" s="21" t="s">
        <v>379</v>
      </c>
      <c r="C124" t="s">
        <v>60</v>
      </c>
      <c r="E124" s="29">
        <v>2</v>
      </c>
      <c r="M124" t="s">
        <v>133</v>
      </c>
      <c r="N124" t="s">
        <v>134</v>
      </c>
      <c r="O124" t="s">
        <v>380</v>
      </c>
      <c r="Q124" s="12">
        <v>0.66</v>
      </c>
      <c r="R124" s="14">
        <f>(SUM(D124:G124,I124))*Q124</f>
        <v>1.32</v>
      </c>
      <c r="S124">
        <v>1</v>
      </c>
      <c r="T124">
        <f>+Tableau1[[#This Row],[DELAIS (w)]]*7</f>
        <v>7</v>
      </c>
      <c r="U124">
        <v>40</v>
      </c>
      <c r="V124">
        <v>40</v>
      </c>
      <c r="W124">
        <f>(Tableau1[[#This Row],[DELAIS (w)]]+2)*(2.5*SUM(Tableau1[[#This Row],[086401 - Train mobile équipé pour DIPRO 3x]:[086885 - Ensemble Codeur - DIPRO 3x]]))</f>
        <v>15</v>
      </c>
      <c r="X124">
        <f>+Tableau1[[#This Row],[STOCK disponible]]/(SUM(Tableau1[[#This Row],[086401 - Train mobile équipé pour DIPRO 3x]:[086885 - Ensemble Codeur - DIPRO 3x]])*2.5)</f>
        <v>8</v>
      </c>
      <c r="Y124" s="9">
        <f ca="1">TODAY()+(Tableau1[[#This Row],[COUVERTURE W (capa 2,5M/S)]]*7)</f>
        <v>46275</v>
      </c>
      <c r="Z124" s="9" t="str">
        <f>IF(Tableau1[[#This Row],[STOCK disponible]]&lt;Tableau1[[#This Row],[SEUIL]],"A COMMANDER","")</f>
        <v/>
      </c>
      <c r="AC124" s="25"/>
      <c r="AD124" s="9" t="str">
        <f>IF(ISBLANK(Tableau1[[#This Row],[date de livraison réappro]]),"",(IF(Tableau1[[#This Row],[date de livraison réappro]]&lt;Tableau1[[#This Row],[date de rupture estimé]],"OK","RUPTURE")))</f>
        <v/>
      </c>
      <c r="AE124" s="16"/>
      <c r="AG124" s="44"/>
      <c r="AM124" s="12"/>
      <c r="AN124" s="12"/>
      <c r="AO124" s="12"/>
      <c r="AP124" s="12"/>
      <c r="AQ124" s="12"/>
      <c r="AR124" s="12"/>
      <c r="AS124" s="12"/>
    </row>
    <row r="125" spans="1:45" hidden="1">
      <c r="A125" s="20" t="s">
        <v>381</v>
      </c>
      <c r="B125" t="s">
        <v>382</v>
      </c>
      <c r="C125" t="s">
        <v>60</v>
      </c>
      <c r="D125" s="32"/>
      <c r="E125" s="29">
        <v>1</v>
      </c>
      <c r="F125" s="32"/>
      <c r="G125" s="32"/>
      <c r="H125" s="1"/>
      <c r="I125" s="32"/>
      <c r="J125" s="1"/>
      <c r="K125" s="1"/>
      <c r="L125" s="1"/>
      <c r="M125" s="1"/>
      <c r="N125" s="1" t="s">
        <v>61</v>
      </c>
      <c r="O125" s="1"/>
      <c r="P125" s="1">
        <v>20</v>
      </c>
      <c r="Q125" s="14">
        <v>1.3</v>
      </c>
      <c r="R125" s="14">
        <f>(SUM(D125:G125,I125))*Q125</f>
        <v>1.3</v>
      </c>
      <c r="S125" s="1"/>
      <c r="T125">
        <f>+Tableau1[[#This Row],[DELAIS (w)]]*7</f>
        <v>0</v>
      </c>
      <c r="U125"/>
      <c r="W125">
        <f>(Tableau1[[#This Row],[DELAIS (w)]]+2)*(2*SUM(Tableau1[[#This Row],[086401 - Train mobile équipé pour DIPRO 3x]:[086885 - Ensemble Codeur - DIPRO 3x]]))</f>
        <v>4</v>
      </c>
      <c r="X125">
        <f>+Tableau1[[#This Row],[STOCK disponible]]/(SUM(Tableau1[[#This Row],[086401 - Train mobile équipé pour DIPRO 3x]:[086885 - Ensemble Codeur - DIPRO 3x]])*2.5)</f>
        <v>0</v>
      </c>
      <c r="Y125" s="9">
        <f ca="1">TODAY()+(Tableau1[[#This Row],[COUVERTURE W (capa 2,5M/S)]]*7)</f>
        <v>46219</v>
      </c>
      <c r="Z125" s="9"/>
      <c r="AD125" s="9" t="str">
        <f>IF(ISBLANK(Tableau1[[#This Row],[date de livraison réappro]]),"",(IF(Tableau1[[#This Row],[date de livraison réappro]]&lt;Tableau1[[#This Row],[date de rupture estimé]],"OK","RUPTURE")))</f>
        <v/>
      </c>
      <c r="AE125" s="16"/>
      <c r="AG125" s="44"/>
      <c r="AM125" s="12"/>
      <c r="AN125" s="12"/>
      <c r="AO125" s="12"/>
      <c r="AP125" s="12"/>
      <c r="AQ125" s="12"/>
      <c r="AR125" s="12">
        <f>Tableau1[[#This Row],[tot tarif ligne]]</f>
        <v>1.3</v>
      </c>
      <c r="AS125" s="12"/>
    </row>
    <row r="126" spans="1:45" hidden="1">
      <c r="A126" s="20" t="s">
        <v>383</v>
      </c>
      <c r="B126" t="s">
        <v>384</v>
      </c>
      <c r="C126" t="s">
        <v>60</v>
      </c>
      <c r="D126" s="32"/>
      <c r="E126" s="29">
        <v>1</v>
      </c>
      <c r="F126" s="32"/>
      <c r="G126" s="32"/>
      <c r="H126" s="1"/>
      <c r="I126" s="32"/>
      <c r="J126" s="1"/>
      <c r="K126" s="1"/>
      <c r="L126" s="1"/>
      <c r="M126" s="1"/>
      <c r="N126" s="1" t="s">
        <v>61</v>
      </c>
      <c r="O126" s="1"/>
      <c r="P126" s="1">
        <v>20</v>
      </c>
      <c r="Q126" s="14">
        <v>1.3</v>
      </c>
      <c r="R126" s="14">
        <f>(SUM(D126:G126,I126))*Q126</f>
        <v>1.3</v>
      </c>
      <c r="S126" s="1"/>
      <c r="T126">
        <f>+Tableau1[[#This Row],[DELAIS (w)]]*7</f>
        <v>0</v>
      </c>
      <c r="U126"/>
      <c r="W126">
        <f>(Tableau1[[#This Row],[DELAIS (w)]]+2)*(2*SUM(Tableau1[[#This Row],[086401 - Train mobile équipé pour DIPRO 3x]:[086885 - Ensemble Codeur - DIPRO 3x]]))</f>
        <v>4</v>
      </c>
      <c r="X126">
        <f>+Tableau1[[#This Row],[STOCK disponible]]/(SUM(Tableau1[[#This Row],[086401 - Train mobile équipé pour DIPRO 3x]:[086885 - Ensemble Codeur - DIPRO 3x]])*2.5)</f>
        <v>0</v>
      </c>
      <c r="Y126" s="9">
        <f ca="1">TODAY()+(Tableau1[[#This Row],[COUVERTURE W (capa 2,5M/S)]]*7)</f>
        <v>46219</v>
      </c>
      <c r="Z126" s="9"/>
      <c r="AD126" s="9" t="str">
        <f>IF(ISBLANK(Tableau1[[#This Row],[date de livraison réappro]]),"",(IF(Tableau1[[#This Row],[date de livraison réappro]]&lt;Tableau1[[#This Row],[date de rupture estimé]],"OK","RUPTURE")))</f>
        <v/>
      </c>
      <c r="AE126" s="16"/>
      <c r="AG126" s="44"/>
      <c r="AM126" s="12"/>
      <c r="AN126" s="12"/>
      <c r="AO126" s="12"/>
      <c r="AP126" s="12"/>
      <c r="AQ126" s="12"/>
      <c r="AR126" s="12">
        <f>Tableau1[[#This Row],[tot tarif ligne]]</f>
        <v>1.3</v>
      </c>
      <c r="AS126" s="12"/>
    </row>
    <row r="127" spans="1:45" hidden="1">
      <c r="A127" s="20" t="s">
        <v>385</v>
      </c>
      <c r="B127" t="s">
        <v>386</v>
      </c>
      <c r="C127" t="s">
        <v>60</v>
      </c>
      <c r="D127" s="32"/>
      <c r="E127" s="29">
        <v>1</v>
      </c>
      <c r="F127" s="32"/>
      <c r="G127" s="32"/>
      <c r="H127" s="1"/>
      <c r="I127" s="32"/>
      <c r="J127" s="1"/>
      <c r="K127" s="1"/>
      <c r="L127" s="1"/>
      <c r="M127" s="1"/>
      <c r="N127" s="1" t="s">
        <v>61</v>
      </c>
      <c r="O127" s="1"/>
      <c r="P127" s="1">
        <v>20</v>
      </c>
      <c r="Q127" s="14">
        <v>1.3</v>
      </c>
      <c r="R127" s="14">
        <f>(SUM(D127:G127,I127))*Q127</f>
        <v>1.3</v>
      </c>
      <c r="S127" s="1"/>
      <c r="T127">
        <f>+Tableau1[[#This Row],[DELAIS (w)]]*7</f>
        <v>0</v>
      </c>
      <c r="U127"/>
      <c r="W127">
        <f>(Tableau1[[#This Row],[DELAIS (w)]]+2)*(2*SUM(Tableau1[[#This Row],[086401 - Train mobile équipé pour DIPRO 3x]:[086885 - Ensemble Codeur - DIPRO 3x]]))</f>
        <v>4</v>
      </c>
      <c r="X127">
        <f>+Tableau1[[#This Row],[STOCK disponible]]/(SUM(Tableau1[[#This Row],[086401 - Train mobile équipé pour DIPRO 3x]:[086885 - Ensemble Codeur - DIPRO 3x]])*2.5)</f>
        <v>0</v>
      </c>
      <c r="Y127" s="9">
        <f ca="1">TODAY()+(Tableau1[[#This Row],[COUVERTURE W (capa 2,5M/S)]]*7)</f>
        <v>46219</v>
      </c>
      <c r="Z127" s="9"/>
      <c r="AD127" s="9" t="str">
        <f>IF(ISBLANK(Tableau1[[#This Row],[date de livraison réappro]]),"",(IF(Tableau1[[#This Row],[date de livraison réappro]]&lt;Tableau1[[#This Row],[date de rupture estimé]],"OK","RUPTURE")))</f>
        <v/>
      </c>
      <c r="AE127" s="16"/>
      <c r="AG127" s="44"/>
      <c r="AM127" s="12"/>
      <c r="AN127" s="12"/>
      <c r="AO127" s="12"/>
      <c r="AP127" s="12"/>
      <c r="AQ127" s="12"/>
      <c r="AR127" s="12">
        <f>Tableau1[[#This Row],[tot tarif ligne]]</f>
        <v>1.3</v>
      </c>
      <c r="AS127" s="12"/>
    </row>
    <row r="128" spans="1:45" hidden="1">
      <c r="A128" s="20" t="s">
        <v>387</v>
      </c>
      <c r="B128" t="s">
        <v>388</v>
      </c>
      <c r="C128" t="s">
        <v>60</v>
      </c>
      <c r="D128" s="32"/>
      <c r="E128" s="29">
        <v>1</v>
      </c>
      <c r="F128" s="32"/>
      <c r="G128" s="32"/>
      <c r="H128" s="1"/>
      <c r="I128" s="32"/>
      <c r="J128" s="1"/>
      <c r="K128" s="1"/>
      <c r="L128" s="1"/>
      <c r="M128" s="1"/>
      <c r="N128" s="1" t="s">
        <v>61</v>
      </c>
      <c r="O128" s="1"/>
      <c r="P128" s="1">
        <v>20</v>
      </c>
      <c r="Q128" s="14">
        <v>1.3</v>
      </c>
      <c r="R128" s="14">
        <f>(SUM(D128:G128,I128))*Q128</f>
        <v>1.3</v>
      </c>
      <c r="S128" s="1"/>
      <c r="T128">
        <f>+Tableau1[[#This Row],[DELAIS (w)]]*7</f>
        <v>0</v>
      </c>
      <c r="U128"/>
      <c r="W128">
        <f>(Tableau1[[#This Row],[DELAIS (w)]]+2)*(2*SUM(Tableau1[[#This Row],[086401 - Train mobile équipé pour DIPRO 3x]:[086885 - Ensemble Codeur - DIPRO 3x]]))</f>
        <v>4</v>
      </c>
      <c r="X128">
        <f>+Tableau1[[#This Row],[STOCK disponible]]/(SUM(Tableau1[[#This Row],[086401 - Train mobile équipé pour DIPRO 3x]:[086885 - Ensemble Codeur - DIPRO 3x]])*2.5)</f>
        <v>0</v>
      </c>
      <c r="Y128" s="9">
        <f ca="1">TODAY()+(Tableau1[[#This Row],[COUVERTURE W (capa 2,5M/S)]]*7)</f>
        <v>46219</v>
      </c>
      <c r="Z128" s="9"/>
      <c r="AD128" s="9" t="str">
        <f>IF(ISBLANK(Tableau1[[#This Row],[date de livraison réappro]]),"",(IF(Tableau1[[#This Row],[date de livraison réappro]]&lt;Tableau1[[#This Row],[date de rupture estimé]],"OK","RUPTURE")))</f>
        <v/>
      </c>
      <c r="AE128" s="16"/>
      <c r="AG128" s="44"/>
      <c r="AM128" s="12"/>
      <c r="AN128" s="12"/>
      <c r="AO128" s="12"/>
      <c r="AP128" s="12"/>
      <c r="AQ128" s="12"/>
      <c r="AR128" s="12">
        <f>Tableau1[[#This Row],[tot tarif ligne]]</f>
        <v>1.3</v>
      </c>
      <c r="AS128" s="12"/>
    </row>
    <row r="129" spans="1:45" hidden="1">
      <c r="A129" s="20" t="s">
        <v>389</v>
      </c>
      <c r="B129" t="s">
        <v>390</v>
      </c>
      <c r="D129" s="32">
        <v>7</v>
      </c>
      <c r="E129" s="32">
        <v>7</v>
      </c>
      <c r="F129" s="35">
        <v>8</v>
      </c>
      <c r="G129" s="32"/>
      <c r="H129" s="1"/>
      <c r="I129" s="32"/>
      <c r="J129" s="1"/>
      <c r="K129" s="1"/>
      <c r="L129" s="1"/>
      <c r="M129" s="1" t="s">
        <v>308</v>
      </c>
      <c r="N129" s="1" t="s">
        <v>363</v>
      </c>
      <c r="O129" s="1" t="s">
        <v>391</v>
      </c>
      <c r="P129" s="1">
        <v>200</v>
      </c>
      <c r="Q129" s="14">
        <v>5.5399999999999998E-2</v>
      </c>
      <c r="R129" s="14">
        <f>(SUM(D129:G129,I129))*Q129</f>
        <v>1.2187999999999999</v>
      </c>
      <c r="S129" s="1">
        <v>2</v>
      </c>
      <c r="T129">
        <f>+Tableau1[[#This Row],[DELAIS (w)]]*7</f>
        <v>14</v>
      </c>
      <c r="U129"/>
      <c r="Y129" s="9"/>
      <c r="Z129" s="9"/>
      <c r="AD129" s="9" t="str">
        <f>IF(ISBLANK(Tableau1[[#This Row],[date de livraison réappro]]),"",(IF(Tableau1[[#This Row],[date de livraison réappro]]&lt;Tableau1[[#This Row],[date de rupture estimé]],"OK","RUPTURE")))</f>
        <v/>
      </c>
      <c r="AE129" s="16"/>
      <c r="AG129" s="44"/>
      <c r="AM129" s="12"/>
      <c r="AN129" s="12"/>
      <c r="AO129" s="12"/>
      <c r="AP129" s="12"/>
      <c r="AQ129" s="12"/>
      <c r="AR129" s="12"/>
      <c r="AS129" s="12"/>
    </row>
    <row r="130" spans="1:45" hidden="1">
      <c r="A130" s="20" t="s">
        <v>392</v>
      </c>
      <c r="B130" s="1" t="s">
        <v>393</v>
      </c>
      <c r="C130" s="1"/>
      <c r="D130" s="32"/>
      <c r="E130" s="32"/>
      <c r="F130" s="32"/>
      <c r="G130" s="32"/>
      <c r="H130" s="1">
        <v>1</v>
      </c>
      <c r="I130" s="32">
        <v>1</v>
      </c>
      <c r="J130" s="1"/>
      <c r="K130" s="1"/>
      <c r="L130" s="1"/>
      <c r="M130" s="1" t="s">
        <v>350</v>
      </c>
      <c r="N130" s="1" t="s">
        <v>367</v>
      </c>
      <c r="O130" s="1"/>
      <c r="P130" s="1">
        <v>60</v>
      </c>
      <c r="Q130" s="14">
        <v>1.2</v>
      </c>
      <c r="R130" s="14">
        <f>(SUM(D130:G130,I130))*Q130</f>
        <v>1.2</v>
      </c>
      <c r="S130" s="1">
        <v>2</v>
      </c>
      <c r="T130">
        <f>+Tableau1[[#This Row],[DELAIS (w)]]*7</f>
        <v>14</v>
      </c>
      <c r="U130">
        <v>47</v>
      </c>
      <c r="V130">
        <v>47</v>
      </c>
      <c r="W130">
        <f>(Tableau1[[#This Row],[DELAIS (w)]]+2)*(2.5*SUM(Tableau1[[#This Row],[086401 - Train mobile équipé pour DIPRO 3x]:[086885 - Ensemble Codeur - DIPRO 3x]]))</f>
        <v>20</v>
      </c>
      <c r="X130">
        <f>+Tableau1[[#This Row],[STOCK disponible]]/(SUM(Tableau1[[#This Row],[086401 - Train mobile équipé pour DIPRO 3x]:[086885 - Ensemble Codeur - DIPRO 3x]])*2.5)</f>
        <v>9.4</v>
      </c>
      <c r="Y130" s="9">
        <f ca="1">TODAY()+(Tableau1[[#This Row],[COUVERTURE W (capa 2,5M/S)]]*7)</f>
        <v>46284.800000000003</v>
      </c>
      <c r="Z130" s="9" t="str">
        <f>IF(Tableau1[[#This Row],[STOCK disponible]]&lt;Tableau1[[#This Row],[SEUIL]],"A COMMANDER","")</f>
        <v/>
      </c>
      <c r="AD130" s="9" t="str">
        <f>IF(ISBLANK(Tableau1[[#This Row],[date de livraison réappro]]),"",(IF(Tableau1[[#This Row],[date de livraison réappro]]&lt;Tableau1[[#This Row],[date de rupture estimé]],"OK","RUPTURE")))</f>
        <v/>
      </c>
      <c r="AE130" s="17">
        <v>51</v>
      </c>
      <c r="AG130" s="44"/>
      <c r="AM130" s="12"/>
      <c r="AN130" s="12"/>
      <c r="AO130" s="12"/>
      <c r="AP130" s="12"/>
      <c r="AQ130" s="12"/>
      <c r="AR130" s="12"/>
      <c r="AS130" s="12"/>
    </row>
    <row r="131" spans="1:45" hidden="1">
      <c r="A131" s="20" t="s">
        <v>394</v>
      </c>
      <c r="B131" t="s">
        <v>395</v>
      </c>
      <c r="C131" t="s">
        <v>60</v>
      </c>
      <c r="D131" s="32"/>
      <c r="E131" s="29">
        <v>1</v>
      </c>
      <c r="F131" s="32"/>
      <c r="G131" s="32"/>
      <c r="H131" s="1"/>
      <c r="I131" s="32"/>
      <c r="J131" s="1"/>
      <c r="K131" s="1"/>
      <c r="L131" s="1"/>
      <c r="M131" s="1"/>
      <c r="N131" s="1" t="s">
        <v>61</v>
      </c>
      <c r="O131" s="1"/>
      <c r="P131" s="1">
        <v>20</v>
      </c>
      <c r="Q131" s="14">
        <v>1.2</v>
      </c>
      <c r="R131" s="14">
        <f>(SUM(D131:G131,I131))*Q131</f>
        <v>1.2</v>
      </c>
      <c r="S131" s="1"/>
      <c r="T131">
        <f>+Tableau1[[#This Row],[DELAIS (w)]]*7</f>
        <v>0</v>
      </c>
      <c r="U131"/>
      <c r="W131">
        <f>(Tableau1[[#This Row],[DELAIS (w)]]+2)*(2*SUM(Tableau1[[#This Row],[086401 - Train mobile équipé pour DIPRO 3x]:[086885 - Ensemble Codeur - DIPRO 3x]]))</f>
        <v>4</v>
      </c>
      <c r="X131">
        <f>+Tableau1[[#This Row],[STOCK disponible]]/(SUM(Tableau1[[#This Row],[086401 - Train mobile équipé pour DIPRO 3x]:[086885 - Ensemble Codeur - DIPRO 3x]])*2.5)</f>
        <v>0</v>
      </c>
      <c r="Y131" s="9">
        <f ca="1">TODAY()+(Tableau1[[#This Row],[COUVERTURE W (capa 2,5M/S)]]*7)</f>
        <v>46219</v>
      </c>
      <c r="Z131" s="9"/>
      <c r="AD131" s="9" t="str">
        <f>IF(ISBLANK(Tableau1[[#This Row],[date de livraison réappro]]),"",(IF(Tableau1[[#This Row],[date de livraison réappro]]&lt;Tableau1[[#This Row],[date de rupture estimé]],"OK","RUPTURE")))</f>
        <v/>
      </c>
      <c r="AE131" s="16"/>
      <c r="AG131" s="44"/>
      <c r="AM131" s="12"/>
      <c r="AN131" s="12"/>
      <c r="AO131" s="12"/>
      <c r="AP131" s="12"/>
      <c r="AQ131" s="12"/>
      <c r="AR131" s="12">
        <f>Tableau1[[#This Row],[tot tarif ligne]]</f>
        <v>1.2</v>
      </c>
      <c r="AS131" s="12"/>
    </row>
    <row r="132" spans="1:45" hidden="1">
      <c r="A132" s="20" t="s">
        <v>396</v>
      </c>
      <c r="B132" t="s">
        <v>397</v>
      </c>
      <c r="C132" t="s">
        <v>60</v>
      </c>
      <c r="D132" s="32"/>
      <c r="E132" s="29">
        <v>1</v>
      </c>
      <c r="F132" s="32"/>
      <c r="G132" s="32"/>
      <c r="H132" s="1"/>
      <c r="I132" s="32"/>
      <c r="J132" s="1"/>
      <c r="K132" s="1"/>
      <c r="L132" s="1"/>
      <c r="M132" s="1"/>
      <c r="N132" s="1" t="s">
        <v>61</v>
      </c>
      <c r="O132" s="1"/>
      <c r="P132" s="1">
        <v>20</v>
      </c>
      <c r="Q132" s="14">
        <v>1.2</v>
      </c>
      <c r="R132" s="14">
        <f>(SUM(D132:G132,I132))*Q132</f>
        <v>1.2</v>
      </c>
      <c r="S132" s="1"/>
      <c r="T132">
        <f>+Tableau1[[#This Row],[DELAIS (w)]]*7</f>
        <v>0</v>
      </c>
      <c r="U132"/>
      <c r="W132">
        <f>(Tableau1[[#This Row],[DELAIS (w)]]+2)*(2*SUM(Tableau1[[#This Row],[086401 - Train mobile équipé pour DIPRO 3x]:[086885 - Ensemble Codeur - DIPRO 3x]]))</f>
        <v>4</v>
      </c>
      <c r="X132">
        <f>+Tableau1[[#This Row],[STOCK disponible]]/(SUM(Tableau1[[#This Row],[086401 - Train mobile équipé pour DIPRO 3x]:[086885 - Ensemble Codeur - DIPRO 3x]])*2.5)</f>
        <v>0</v>
      </c>
      <c r="Y132" s="9">
        <f ca="1">TODAY()+(Tableau1[[#This Row],[COUVERTURE W (capa 2,5M/S)]]*7)</f>
        <v>46219</v>
      </c>
      <c r="Z132" s="9"/>
      <c r="AD132" s="9" t="str">
        <f>IF(ISBLANK(Tableau1[[#This Row],[date de livraison réappro]]),"",(IF(Tableau1[[#This Row],[date de livraison réappro]]&lt;Tableau1[[#This Row],[date de rupture estimé]],"OK","RUPTURE")))</f>
        <v/>
      </c>
      <c r="AE132" s="16"/>
      <c r="AG132" s="44"/>
      <c r="AM132" s="12"/>
      <c r="AN132" s="12"/>
      <c r="AO132" s="12"/>
      <c r="AP132" s="12"/>
      <c r="AQ132" s="12"/>
      <c r="AR132" s="12">
        <f>Tableau1[[#This Row],[tot tarif ligne]]</f>
        <v>1.2</v>
      </c>
      <c r="AS132" s="12"/>
    </row>
    <row r="133" spans="1:45" hidden="1">
      <c r="A133" s="20" t="s">
        <v>398</v>
      </c>
      <c r="B133" t="s">
        <v>399</v>
      </c>
      <c r="C133" t="s">
        <v>60</v>
      </c>
      <c r="D133" s="32"/>
      <c r="E133" s="29">
        <v>1</v>
      </c>
      <c r="F133" s="32"/>
      <c r="G133" s="32"/>
      <c r="H133" s="1"/>
      <c r="I133" s="32"/>
      <c r="J133" s="1"/>
      <c r="K133" s="1"/>
      <c r="L133" s="1"/>
      <c r="M133" s="1"/>
      <c r="N133" s="1" t="s">
        <v>61</v>
      </c>
      <c r="O133" s="1"/>
      <c r="P133" s="1">
        <v>20</v>
      </c>
      <c r="Q133" s="14">
        <v>1.2</v>
      </c>
      <c r="R133" s="14">
        <f>(SUM(D133:G133,I133))*Q133</f>
        <v>1.2</v>
      </c>
      <c r="S133" s="1"/>
      <c r="T133">
        <f>+Tableau1[[#This Row],[DELAIS (w)]]*7</f>
        <v>0</v>
      </c>
      <c r="U133"/>
      <c r="W133">
        <f>(Tableau1[[#This Row],[DELAIS (w)]]+2)*(2*SUM(Tableau1[[#This Row],[086401 - Train mobile équipé pour DIPRO 3x]:[086885 - Ensemble Codeur - DIPRO 3x]]))</f>
        <v>4</v>
      </c>
      <c r="X133">
        <f>+Tableau1[[#This Row],[STOCK disponible]]/(SUM(Tableau1[[#This Row],[086401 - Train mobile équipé pour DIPRO 3x]:[086885 - Ensemble Codeur - DIPRO 3x]])*2.5)</f>
        <v>0</v>
      </c>
      <c r="Y133" s="9">
        <f ca="1">TODAY()+(Tableau1[[#This Row],[COUVERTURE W (capa 2,5M/S)]]*7)</f>
        <v>46219</v>
      </c>
      <c r="Z133" s="9"/>
      <c r="AD133" s="9" t="str">
        <f>IF(ISBLANK(Tableau1[[#This Row],[date de livraison réappro]]),"",(IF(Tableau1[[#This Row],[date de livraison réappro]]&lt;Tableau1[[#This Row],[date de rupture estimé]],"OK","RUPTURE")))</f>
        <v/>
      </c>
      <c r="AE133" s="16"/>
      <c r="AG133" s="44"/>
      <c r="AM133" s="12"/>
      <c r="AN133" s="12"/>
      <c r="AO133" s="12"/>
      <c r="AP133" s="12"/>
      <c r="AQ133" s="12"/>
      <c r="AR133" s="12">
        <f>Tableau1[[#This Row],[tot tarif ligne]]</f>
        <v>1.2</v>
      </c>
      <c r="AS133" s="12"/>
    </row>
    <row r="134" spans="1:45" hidden="1">
      <c r="A134" s="20" t="s">
        <v>400</v>
      </c>
      <c r="B134" t="s">
        <v>401</v>
      </c>
      <c r="C134" t="s">
        <v>60</v>
      </c>
      <c r="D134" s="29">
        <v>1</v>
      </c>
      <c r="E134" s="32"/>
      <c r="F134" s="32"/>
      <c r="G134" s="32"/>
      <c r="H134" s="1"/>
      <c r="I134" s="32"/>
      <c r="J134" s="1"/>
      <c r="K134" s="1"/>
      <c r="L134" s="1"/>
      <c r="M134" s="1"/>
      <c r="N134" s="1" t="s">
        <v>61</v>
      </c>
      <c r="O134" s="1"/>
      <c r="P134" s="1">
        <v>20</v>
      </c>
      <c r="Q134" s="14">
        <v>1.2</v>
      </c>
      <c r="R134" s="14">
        <f>(SUM(D134:G134,I134))*Q134</f>
        <v>1.2</v>
      </c>
      <c r="S134" s="1"/>
      <c r="T134">
        <f>+Tableau1[[#This Row],[DELAIS (w)]]*7</f>
        <v>0</v>
      </c>
      <c r="U134"/>
      <c r="W134">
        <f>(Tableau1[[#This Row],[DELAIS (w)]]+2)*(2*SUM(Tableau1[[#This Row],[086401 - Train mobile équipé pour DIPRO 3x]:[086885 - Ensemble Codeur - DIPRO 3x]]))</f>
        <v>4</v>
      </c>
      <c r="X134">
        <f>+Tableau1[[#This Row],[STOCK disponible]]/(SUM(Tableau1[[#This Row],[086401 - Train mobile équipé pour DIPRO 3x]:[086885 - Ensemble Codeur - DIPRO 3x]])*2.5)</f>
        <v>0</v>
      </c>
      <c r="Y134" s="9">
        <f ca="1">TODAY()+(Tableau1[[#This Row],[COUVERTURE W (capa 2,5M/S)]]*7)</f>
        <v>46219</v>
      </c>
      <c r="Z134" s="9"/>
      <c r="AD134" s="9" t="str">
        <f>IF(ISBLANK(Tableau1[[#This Row],[date de livraison réappro]]),"",(IF(Tableau1[[#This Row],[date de livraison réappro]]&lt;Tableau1[[#This Row],[date de rupture estimé]],"OK","RUPTURE")))</f>
        <v/>
      </c>
      <c r="AE134" s="16"/>
      <c r="AG134" s="44"/>
      <c r="AM134" s="12"/>
      <c r="AN134" s="12"/>
      <c r="AO134" s="12"/>
      <c r="AP134" s="12"/>
      <c r="AQ134" s="12"/>
      <c r="AR134" s="12">
        <f>Tableau1[[#This Row],[tot tarif ligne]]</f>
        <v>1.2</v>
      </c>
      <c r="AS134" s="12"/>
    </row>
    <row r="135" spans="1:45" hidden="1">
      <c r="A135" s="20" t="s">
        <v>402</v>
      </c>
      <c r="B135" t="s">
        <v>403</v>
      </c>
      <c r="F135" s="29">
        <v>4</v>
      </c>
      <c r="M135" t="s">
        <v>308</v>
      </c>
      <c r="N135" t="s">
        <v>363</v>
      </c>
      <c r="O135" t="s">
        <v>404</v>
      </c>
      <c r="P135">
        <v>100</v>
      </c>
      <c r="Q135" s="12">
        <v>0.28689999999999999</v>
      </c>
      <c r="R135" s="14">
        <f>(SUM(D135:G135,I135))*Q135</f>
        <v>1.1476</v>
      </c>
      <c r="S135">
        <v>2</v>
      </c>
      <c r="T135">
        <f>+Tableau1[[#This Row],[DELAIS (w)]]*7</f>
        <v>14</v>
      </c>
      <c r="U135"/>
      <c r="Y135" s="9"/>
      <c r="Z135" s="9"/>
      <c r="AD135" s="9" t="str">
        <f>IF(ISBLANK(Tableau1[[#This Row],[date de livraison réappro]]),"",(IF(Tableau1[[#This Row],[date de livraison réappro]]&lt;Tableau1[[#This Row],[date de rupture estimé]],"OK","RUPTURE")))</f>
        <v/>
      </c>
      <c r="AE135" s="16"/>
      <c r="AG135" s="44"/>
      <c r="AM135" s="12"/>
      <c r="AN135" s="12"/>
      <c r="AO135" s="12"/>
      <c r="AP135" s="12"/>
      <c r="AQ135" s="12"/>
      <c r="AR135" s="12"/>
      <c r="AS135" s="12"/>
    </row>
    <row r="136" spans="1:45" hidden="1">
      <c r="A136" s="20">
        <v>100111</v>
      </c>
      <c r="B136" s="1" t="s">
        <v>405</v>
      </c>
      <c r="C136" s="1"/>
      <c r="D136" s="32">
        <v>6</v>
      </c>
      <c r="E136" s="32">
        <v>6</v>
      </c>
      <c r="F136" s="32"/>
      <c r="G136" s="32"/>
      <c r="H136" s="1"/>
      <c r="I136" s="32"/>
      <c r="J136" s="1"/>
      <c r="K136" s="1"/>
      <c r="L136" s="1"/>
      <c r="M136" s="1" t="s">
        <v>308</v>
      </c>
      <c r="N136" s="1" t="s">
        <v>363</v>
      </c>
      <c r="O136" s="1" t="s">
        <v>406</v>
      </c>
      <c r="P136" s="1">
        <v>200</v>
      </c>
      <c r="Q136" s="14">
        <v>8.5999999999999993E-2</v>
      </c>
      <c r="R136" s="14">
        <f>(SUM(D136:G136,I136))*Q136</f>
        <v>1.032</v>
      </c>
      <c r="S136" s="1">
        <v>2</v>
      </c>
      <c r="T136">
        <f>+Tableau1[[#This Row],[DELAIS (w)]]*7</f>
        <v>14</v>
      </c>
      <c r="U136"/>
      <c r="Y136" s="9"/>
      <c r="Z136" s="9"/>
      <c r="AD136" s="9" t="str">
        <f>IF(ISBLANK(Tableau1[[#This Row],[date de livraison réappro]]),"",(IF(Tableau1[[#This Row],[date de livraison réappro]]&lt;Tableau1[[#This Row],[date de rupture estimé]],"OK","RUPTURE")))</f>
        <v/>
      </c>
      <c r="AE136" s="17">
        <v>0</v>
      </c>
      <c r="AG136" s="44"/>
      <c r="AM136" s="12"/>
      <c r="AN136" s="12"/>
      <c r="AO136" s="12"/>
      <c r="AP136" s="12"/>
      <c r="AQ136" s="12"/>
      <c r="AR136" s="12"/>
      <c r="AS136" s="12"/>
    </row>
    <row r="137" spans="1:45" hidden="1">
      <c r="A137" s="20" t="s">
        <v>407</v>
      </c>
      <c r="B137" s="21" t="s">
        <v>408</v>
      </c>
      <c r="C137" s="21"/>
      <c r="D137" s="32">
        <v>7</v>
      </c>
      <c r="E137" s="32">
        <v>7</v>
      </c>
      <c r="F137" s="32"/>
      <c r="G137" s="32"/>
      <c r="H137" s="1"/>
      <c r="I137" s="32"/>
      <c r="J137" s="1"/>
      <c r="K137" s="1"/>
      <c r="L137" s="1"/>
      <c r="M137" s="1" t="s">
        <v>308</v>
      </c>
      <c r="N137" s="1" t="s">
        <v>363</v>
      </c>
      <c r="O137" s="1"/>
      <c r="P137" s="1">
        <v>200</v>
      </c>
      <c r="Q137" s="14">
        <v>7.1099999999999997E-2</v>
      </c>
      <c r="R137" s="14">
        <f>(SUM(D137:G137,I137))*Q137</f>
        <v>0.99539999999999995</v>
      </c>
      <c r="S137" s="1">
        <v>2</v>
      </c>
      <c r="T137">
        <f>+Tableau1[[#This Row],[DELAIS (w)]]*7</f>
        <v>14</v>
      </c>
      <c r="U137"/>
      <c r="Y137" s="9"/>
      <c r="Z137" s="9"/>
      <c r="AD137" s="9" t="str">
        <f>IF(ISBLANK(Tableau1[[#This Row],[date de livraison réappro]]),"",(IF(Tableau1[[#This Row],[date de livraison réappro]]&lt;Tableau1[[#This Row],[date de rupture estimé]],"OK","RUPTURE")))</f>
        <v/>
      </c>
      <c r="AE137" s="16"/>
      <c r="AG137" s="44"/>
      <c r="AM137" s="12"/>
      <c r="AN137" s="12"/>
      <c r="AO137" s="12"/>
      <c r="AP137" s="12"/>
      <c r="AQ137" s="12"/>
      <c r="AR137" s="12"/>
      <c r="AS137" s="12"/>
    </row>
    <row r="138" spans="1:45" hidden="1">
      <c r="A138" s="20" t="s">
        <v>409</v>
      </c>
      <c r="B138" s="1" t="s">
        <v>410</v>
      </c>
      <c r="C138" s="1"/>
      <c r="D138" s="32"/>
      <c r="E138" s="32"/>
      <c r="F138" s="32">
        <v>1</v>
      </c>
      <c r="G138" s="32"/>
      <c r="H138" s="1"/>
      <c r="I138" s="32"/>
      <c r="J138" s="1"/>
      <c r="K138" s="1"/>
      <c r="L138" s="1"/>
      <c r="M138" s="1" t="s">
        <v>350</v>
      </c>
      <c r="N138" s="1" t="s">
        <v>367</v>
      </c>
      <c r="O138" s="1"/>
      <c r="P138" s="1">
        <v>60</v>
      </c>
      <c r="Q138" s="14">
        <v>0.88</v>
      </c>
      <c r="R138" s="14">
        <f>(SUM(D138:G138,I138))*Q138</f>
        <v>0.88</v>
      </c>
      <c r="S138" s="1">
        <v>2</v>
      </c>
      <c r="T138">
        <f>+Tableau1[[#This Row],[DELAIS (w)]]*7</f>
        <v>14</v>
      </c>
      <c r="U138">
        <v>41</v>
      </c>
      <c r="V138">
        <v>41</v>
      </c>
      <c r="W138">
        <f>(Tableau1[[#This Row],[DELAIS (w)]]+2)*(2.5*SUM(Tableau1[[#This Row],[086401 - Train mobile équipé pour DIPRO 3x]:[086885 - Ensemble Codeur - DIPRO 3x]]))</f>
        <v>10</v>
      </c>
      <c r="X138">
        <f>+Tableau1[[#This Row],[STOCK disponible]]/(SUM(Tableau1[[#This Row],[086401 - Train mobile équipé pour DIPRO 3x]:[086885 - Ensemble Codeur - DIPRO 3x]])*2.5)</f>
        <v>16.399999999999999</v>
      </c>
      <c r="Y138" s="9">
        <f ca="1">TODAY()+(Tableau1[[#This Row],[COUVERTURE W (capa 2,5M/S)]]*7)</f>
        <v>46333.8</v>
      </c>
      <c r="Z138" s="9" t="str">
        <f>IF(Tableau1[[#This Row],[STOCK disponible]]&lt;Tableau1[[#This Row],[SEUIL]],"A COMMANDER","")</f>
        <v/>
      </c>
      <c r="AD138" s="9" t="str">
        <f>IF(ISBLANK(Tableau1[[#This Row],[date de livraison réappro]]),"",(IF(Tableau1[[#This Row],[date de livraison réappro]]&lt;Tableau1[[#This Row],[date de rupture estimé]],"OK","RUPTURE")))</f>
        <v/>
      </c>
      <c r="AE138" s="17">
        <v>45</v>
      </c>
      <c r="AG138" s="44"/>
      <c r="AM138" s="12"/>
      <c r="AN138" s="12"/>
      <c r="AO138" s="12"/>
      <c r="AP138" s="12"/>
      <c r="AQ138" s="12"/>
      <c r="AR138" s="12"/>
      <c r="AS138" s="12"/>
    </row>
    <row r="139" spans="1:45" hidden="1">
      <c r="A139" s="20" t="s">
        <v>411</v>
      </c>
      <c r="B139" s="1" t="s">
        <v>412</v>
      </c>
      <c r="C139" s="1"/>
      <c r="D139" s="32"/>
      <c r="E139" s="32"/>
      <c r="F139" s="32"/>
      <c r="G139" s="32"/>
      <c r="H139" s="1"/>
      <c r="I139" s="32">
        <v>1</v>
      </c>
      <c r="J139" s="1"/>
      <c r="K139" s="1"/>
      <c r="L139" s="1"/>
      <c r="M139" s="1" t="s">
        <v>350</v>
      </c>
      <c r="N139" s="1" t="s">
        <v>367</v>
      </c>
      <c r="O139" s="1"/>
      <c r="P139" s="1">
        <v>60</v>
      </c>
      <c r="Q139" s="14">
        <v>0.88</v>
      </c>
      <c r="R139" s="14">
        <f>(SUM(D139:G139,I139))*Q139</f>
        <v>0.88</v>
      </c>
      <c r="S139" s="1">
        <v>2</v>
      </c>
      <c r="T139">
        <f>+Tableau1[[#This Row],[DELAIS (w)]]*7</f>
        <v>14</v>
      </c>
      <c r="U139">
        <v>50</v>
      </c>
      <c r="V139">
        <v>50</v>
      </c>
      <c r="W139">
        <f>(Tableau1[[#This Row],[DELAIS (w)]]+2)*(2.5*SUM(Tableau1[[#This Row],[086401 - Train mobile équipé pour DIPRO 3x]:[086885 - Ensemble Codeur - DIPRO 3x]]))</f>
        <v>10</v>
      </c>
      <c r="X139">
        <f>+Tableau1[[#This Row],[STOCK disponible]]/(SUM(Tableau1[[#This Row],[086401 - Train mobile équipé pour DIPRO 3x]:[086885 - Ensemble Codeur - DIPRO 3x]])*2.5)</f>
        <v>20</v>
      </c>
      <c r="Y139" s="9">
        <f ca="1">TODAY()+(Tableau1[[#This Row],[COUVERTURE W (capa 2,5M/S)]]*7)</f>
        <v>46359</v>
      </c>
      <c r="Z139" s="9" t="str">
        <f>IF(Tableau1[[#This Row],[STOCK disponible]]&lt;Tableau1[[#This Row],[SEUIL]],"A COMMANDER","")</f>
        <v/>
      </c>
      <c r="AD139" s="9" t="str">
        <f>IF(ISBLANK(Tableau1[[#This Row],[date de livraison réappro]]),"",(IF(Tableau1[[#This Row],[date de livraison réappro]]&lt;Tableau1[[#This Row],[date de rupture estimé]],"OK","RUPTURE")))</f>
        <v/>
      </c>
      <c r="AE139" s="17">
        <v>106</v>
      </c>
      <c r="AG139" s="44"/>
      <c r="AM139" s="12"/>
      <c r="AN139" s="12"/>
      <c r="AO139" s="12"/>
      <c r="AP139" s="12"/>
      <c r="AQ139" s="12"/>
      <c r="AR139" s="12"/>
      <c r="AS139" s="12"/>
    </row>
    <row r="140" spans="1:45" hidden="1">
      <c r="A140" s="20" t="s">
        <v>413</v>
      </c>
      <c r="B140" s="1" t="s">
        <v>414</v>
      </c>
      <c r="C140" s="1"/>
      <c r="D140" s="32"/>
      <c r="E140" s="32"/>
      <c r="F140" s="32"/>
      <c r="G140" s="32">
        <v>1</v>
      </c>
      <c r="H140" s="1"/>
      <c r="I140" s="32"/>
      <c r="J140" s="1"/>
      <c r="K140" s="1"/>
      <c r="L140" s="1"/>
      <c r="M140" s="1" t="s">
        <v>350</v>
      </c>
      <c r="N140" s="1" t="s">
        <v>367</v>
      </c>
      <c r="O140" s="1"/>
      <c r="P140" s="1"/>
      <c r="Q140" s="14">
        <v>0.88</v>
      </c>
      <c r="R140" s="14">
        <f>(SUM(D140:G140,I140))*Q140</f>
        <v>0.88</v>
      </c>
      <c r="S140" s="1">
        <v>2</v>
      </c>
      <c r="T140">
        <f>+Tableau1[[#This Row],[DELAIS (w)]]*7</f>
        <v>14</v>
      </c>
      <c r="U140">
        <v>42</v>
      </c>
      <c r="V140">
        <v>42</v>
      </c>
      <c r="W140">
        <f>(Tableau1[[#This Row],[DELAIS (w)]]+2)*(2.5*SUM(Tableau1[[#This Row],[086401 - Train mobile équipé pour DIPRO 3x]:[086885 - Ensemble Codeur - DIPRO 3x]]))</f>
        <v>10</v>
      </c>
      <c r="X140">
        <f>+Tableau1[[#This Row],[STOCK disponible]]/(SUM(Tableau1[[#This Row],[086401 - Train mobile équipé pour DIPRO 3x]:[086885 - Ensemble Codeur - DIPRO 3x]])*2.5)</f>
        <v>16.8</v>
      </c>
      <c r="Y140" s="9">
        <f ca="1">TODAY()+(Tableau1[[#This Row],[COUVERTURE W (capa 2,5M/S)]]*7)</f>
        <v>46336.6</v>
      </c>
      <c r="Z140" s="9" t="str">
        <f>IF(Tableau1[[#This Row],[STOCK disponible]]&lt;Tableau1[[#This Row],[SEUIL]],"A COMMANDER","")</f>
        <v/>
      </c>
      <c r="AD140" s="9" t="str">
        <f>IF(ISBLANK(Tableau1[[#This Row],[date de livraison réappro]]),"",(IF(Tableau1[[#This Row],[date de livraison réappro]]&lt;Tableau1[[#This Row],[date de rupture estimé]],"OK","RUPTURE")))</f>
        <v/>
      </c>
      <c r="AE140" s="17">
        <v>60</v>
      </c>
      <c r="AG140" s="44"/>
      <c r="AM140" s="12"/>
      <c r="AN140" s="12"/>
      <c r="AO140" s="12"/>
      <c r="AP140" s="12"/>
      <c r="AQ140" s="12"/>
      <c r="AR140" s="12"/>
      <c r="AS140" s="12"/>
    </row>
    <row r="141" spans="1:45" hidden="1">
      <c r="A141" s="20" t="s">
        <v>415</v>
      </c>
      <c r="B141" s="2" t="s">
        <v>416</v>
      </c>
      <c r="C141" s="2"/>
      <c r="D141" s="29">
        <v>1</v>
      </c>
      <c r="F141" s="32"/>
      <c r="G141" s="32"/>
      <c r="H141" s="1"/>
      <c r="I141" s="32"/>
      <c r="J141" s="1"/>
      <c r="K141" s="1"/>
      <c r="L141" s="1"/>
      <c r="M141" s="1" t="s">
        <v>350</v>
      </c>
      <c r="N141" s="1" t="s">
        <v>367</v>
      </c>
      <c r="P141">
        <v>60</v>
      </c>
      <c r="Q141" s="14">
        <v>0.88</v>
      </c>
      <c r="R141" s="14">
        <f>(SUM(D141:G141,I141))*Q141</f>
        <v>0.88</v>
      </c>
      <c r="S141">
        <v>2</v>
      </c>
      <c r="T141">
        <f>+Tableau1[[#This Row],[DELAIS (w)]]*7</f>
        <v>14</v>
      </c>
      <c r="U141">
        <v>42</v>
      </c>
      <c r="V141">
        <v>42</v>
      </c>
      <c r="W141">
        <f>(Tableau1[[#This Row],[DELAIS (w)]]+2)*(2.5*SUM(Tableau1[[#This Row],[086401 - Train mobile équipé pour DIPRO 3x]:[086885 - Ensemble Codeur - DIPRO 3x]]))</f>
        <v>10</v>
      </c>
      <c r="X141">
        <f>+Tableau1[[#This Row],[STOCK disponible]]/(SUM(Tableau1[[#This Row],[086401 - Train mobile équipé pour DIPRO 3x]:[086885 - Ensemble Codeur - DIPRO 3x]])*2.5)</f>
        <v>16.8</v>
      </c>
      <c r="Y141" s="9">
        <f ca="1">TODAY()+(Tableau1[[#This Row],[COUVERTURE W (capa 2,5M/S)]]*7)</f>
        <v>46336.6</v>
      </c>
      <c r="Z141" s="9" t="str">
        <f>IF(Tableau1[[#This Row],[STOCK disponible]]&lt;Tableau1[[#This Row],[SEUIL]],"A COMMANDER","")</f>
        <v/>
      </c>
      <c r="AD141" s="9" t="str">
        <f>IF(ISBLANK(Tableau1[[#This Row],[date de livraison réappro]]),"",(IF(Tableau1[[#This Row],[date de livraison réappro]]&lt;Tableau1[[#This Row],[date de rupture estimé]],"OK","RUPTURE")))</f>
        <v/>
      </c>
      <c r="AE141" s="17">
        <v>60</v>
      </c>
      <c r="AG141" s="44"/>
      <c r="AM141" s="12"/>
      <c r="AN141" s="12"/>
      <c r="AO141" s="12"/>
      <c r="AP141" s="12"/>
      <c r="AQ141" s="12"/>
      <c r="AR141" s="12"/>
      <c r="AS141" s="12"/>
    </row>
    <row r="142" spans="1:45" hidden="1">
      <c r="A142" s="20" t="s">
        <v>417</v>
      </c>
      <c r="B142" s="2" t="s">
        <v>418</v>
      </c>
      <c r="C142" s="2"/>
      <c r="E142" s="29">
        <v>1</v>
      </c>
      <c r="F142" s="32"/>
      <c r="G142" s="32"/>
      <c r="H142" s="1"/>
      <c r="I142" s="32"/>
      <c r="J142" s="1"/>
      <c r="K142" s="1"/>
      <c r="L142" s="1"/>
      <c r="M142" s="1" t="s">
        <v>350</v>
      </c>
      <c r="N142" s="1" t="s">
        <v>367</v>
      </c>
      <c r="P142">
        <v>60</v>
      </c>
      <c r="Q142" s="14">
        <v>0.88</v>
      </c>
      <c r="R142" s="14">
        <f>(SUM(D142:G142,I142))*Q142</f>
        <v>0.88</v>
      </c>
      <c r="S142">
        <v>2</v>
      </c>
      <c r="T142">
        <f>+Tableau1[[#This Row],[DELAIS (w)]]*7</f>
        <v>14</v>
      </c>
      <c r="U142">
        <v>42</v>
      </c>
      <c r="V142">
        <v>42</v>
      </c>
      <c r="W142">
        <f>(Tableau1[[#This Row],[DELAIS (w)]]+2)*(2.5*SUM(Tableau1[[#This Row],[086401 - Train mobile équipé pour DIPRO 3x]:[086885 - Ensemble Codeur - DIPRO 3x]]))</f>
        <v>10</v>
      </c>
      <c r="X142">
        <f>+Tableau1[[#This Row],[STOCK disponible]]/(SUM(Tableau1[[#This Row],[086401 - Train mobile équipé pour DIPRO 3x]:[086885 - Ensemble Codeur - DIPRO 3x]])*2.5)</f>
        <v>16.8</v>
      </c>
      <c r="Y142" s="9">
        <f ca="1">TODAY()+(Tableau1[[#This Row],[COUVERTURE W (capa 2,5M/S)]]*7)</f>
        <v>46336.6</v>
      </c>
      <c r="Z142" s="9" t="str">
        <f>IF(Tableau1[[#This Row],[STOCK disponible]]&lt;Tableau1[[#This Row],[SEUIL]],"A COMMANDER","")</f>
        <v/>
      </c>
      <c r="AD142" s="9" t="str">
        <f>IF(ISBLANK(Tableau1[[#This Row],[date de livraison réappro]]),"",(IF(Tableau1[[#This Row],[date de livraison réappro]]&lt;Tableau1[[#This Row],[date de rupture estimé]],"OK","RUPTURE")))</f>
        <v/>
      </c>
      <c r="AE142" s="17">
        <v>60</v>
      </c>
      <c r="AG142" s="44"/>
      <c r="AM142" s="12"/>
      <c r="AN142" s="12"/>
      <c r="AO142" s="12"/>
      <c r="AP142" s="12"/>
      <c r="AQ142" s="12"/>
      <c r="AR142" s="12"/>
      <c r="AS142" s="12"/>
    </row>
    <row r="143" spans="1:45" hidden="1">
      <c r="A143" s="20" t="s">
        <v>419</v>
      </c>
      <c r="B143" t="s">
        <v>420</v>
      </c>
      <c r="D143" s="29">
        <v>1</v>
      </c>
      <c r="M143" t="s">
        <v>350</v>
      </c>
      <c r="N143" t="s">
        <v>367</v>
      </c>
      <c r="P143">
        <v>50</v>
      </c>
      <c r="Q143" s="14">
        <v>0.88</v>
      </c>
      <c r="R143" s="14">
        <f>(SUM(D143:G143,I143))*Q143</f>
        <v>0.88</v>
      </c>
      <c r="S143">
        <v>2</v>
      </c>
      <c r="T143">
        <f>+Tableau1[[#This Row],[DELAIS (w)]]*7</f>
        <v>14</v>
      </c>
      <c r="U143"/>
      <c r="W143">
        <f>(Tableau1[[#This Row],[DELAIS (w)]]+2)*(2*SUM(Tableau1[[#This Row],[086401 - Train mobile équipé pour DIPRO 3x]:[086885 - Ensemble Codeur - DIPRO 3x]]))</f>
        <v>8</v>
      </c>
      <c r="X143">
        <f>+Tableau1[[#This Row],[STOCK disponible]]/(SUM(Tableau1[[#This Row],[086401 - Train mobile équipé pour DIPRO 3x]:[086885 - Ensemble Codeur - DIPRO 3x]])*2.5)</f>
        <v>0</v>
      </c>
      <c r="Y143" s="9">
        <f ca="1">TODAY()+(Tableau1[[#This Row],[COUVERTURE W (capa 2,5M/S)]]*7)</f>
        <v>46219</v>
      </c>
      <c r="Z143" s="9"/>
      <c r="AD143" s="9" t="str">
        <f>IF(ISBLANK(Tableau1[[#This Row],[date de livraison réappro]]),"",(IF(Tableau1[[#This Row],[date de livraison réappro]]&lt;Tableau1[[#This Row],[date de rupture estimé]],"OK","RUPTURE")))</f>
        <v/>
      </c>
      <c r="AE143" s="16"/>
      <c r="AG143" s="44"/>
      <c r="AM143" s="12"/>
      <c r="AN143" s="12"/>
      <c r="AO143" s="12"/>
      <c r="AP143" s="12"/>
      <c r="AQ143" s="12"/>
      <c r="AR143" s="12"/>
      <c r="AS143" s="12"/>
    </row>
    <row r="144" spans="1:45" hidden="1">
      <c r="A144" s="20" t="s">
        <v>421</v>
      </c>
      <c r="B144" t="s">
        <v>422</v>
      </c>
      <c r="D144" s="29">
        <v>1</v>
      </c>
      <c r="M144" t="s">
        <v>350</v>
      </c>
      <c r="N144" t="s">
        <v>367</v>
      </c>
      <c r="P144">
        <v>50</v>
      </c>
      <c r="Q144" s="14">
        <v>0.88</v>
      </c>
      <c r="R144" s="14">
        <f>(SUM(D144:G144,I144))*Q144</f>
        <v>0.88</v>
      </c>
      <c r="S144">
        <v>2</v>
      </c>
      <c r="T144">
        <f>+Tableau1[[#This Row],[DELAIS (w)]]*7</f>
        <v>14</v>
      </c>
      <c r="U144"/>
      <c r="W144">
        <f>(Tableau1[[#This Row],[DELAIS (w)]]+2)*(2*SUM(Tableau1[[#This Row],[086401 - Train mobile équipé pour DIPRO 3x]:[086885 - Ensemble Codeur - DIPRO 3x]]))</f>
        <v>8</v>
      </c>
      <c r="X144">
        <f>+Tableau1[[#This Row],[STOCK disponible]]/(SUM(Tableau1[[#This Row],[086401 - Train mobile équipé pour DIPRO 3x]:[086885 - Ensemble Codeur - DIPRO 3x]])*2.5)</f>
        <v>0</v>
      </c>
      <c r="Y144" s="9">
        <f ca="1">TODAY()+(Tableau1[[#This Row],[COUVERTURE W (capa 2,5M/S)]]*7)</f>
        <v>46219</v>
      </c>
      <c r="Z144" s="9"/>
      <c r="AD144" s="9" t="str">
        <f>IF(ISBLANK(Tableau1[[#This Row],[date de livraison réappro]]),"",(IF(Tableau1[[#This Row],[date de livraison réappro]]&lt;Tableau1[[#This Row],[date de rupture estimé]],"OK","RUPTURE")))</f>
        <v/>
      </c>
      <c r="AE144" s="16"/>
      <c r="AG144" s="44"/>
      <c r="AM144" s="12"/>
      <c r="AN144" s="12"/>
      <c r="AO144" s="12"/>
      <c r="AP144" s="12"/>
      <c r="AQ144" s="12"/>
      <c r="AR144" s="12"/>
      <c r="AS144" s="12"/>
    </row>
    <row r="145" spans="1:45" hidden="1">
      <c r="A145" s="20" t="s">
        <v>423</v>
      </c>
      <c r="B145" t="s">
        <v>424</v>
      </c>
      <c r="E145" s="29">
        <v>1</v>
      </c>
      <c r="M145" t="s">
        <v>350</v>
      </c>
      <c r="N145" t="s">
        <v>367</v>
      </c>
      <c r="P145">
        <v>50</v>
      </c>
      <c r="Q145" s="14">
        <v>0.88</v>
      </c>
      <c r="R145" s="14">
        <f>(SUM(D145:G145,I145))*Q145</f>
        <v>0.88</v>
      </c>
      <c r="S145">
        <v>2</v>
      </c>
      <c r="T145">
        <f>+Tableau1[[#This Row],[DELAIS (w)]]*7</f>
        <v>14</v>
      </c>
      <c r="U145"/>
      <c r="W145">
        <f>(Tableau1[[#This Row],[DELAIS (w)]]+2)*(2*SUM(Tableau1[[#This Row],[086401 - Train mobile équipé pour DIPRO 3x]:[086885 - Ensemble Codeur - DIPRO 3x]]))</f>
        <v>8</v>
      </c>
      <c r="X145">
        <f>+Tableau1[[#This Row],[STOCK disponible]]/(SUM(Tableau1[[#This Row],[086401 - Train mobile équipé pour DIPRO 3x]:[086885 - Ensemble Codeur - DIPRO 3x]])*2.5)</f>
        <v>0</v>
      </c>
      <c r="Y145" s="9">
        <f ca="1">TODAY()+(Tableau1[[#This Row],[COUVERTURE W (capa 2,5M/S)]]*7)</f>
        <v>46219</v>
      </c>
      <c r="Z145" s="9"/>
      <c r="AD145" s="9" t="str">
        <f>IF(ISBLANK(Tableau1[[#This Row],[date de livraison réappro]]),"",(IF(Tableau1[[#This Row],[date de livraison réappro]]&lt;Tableau1[[#This Row],[date de rupture estimé]],"OK","RUPTURE")))</f>
        <v/>
      </c>
      <c r="AE145" s="16"/>
      <c r="AG145" s="44"/>
      <c r="AM145" s="12"/>
      <c r="AN145" s="12"/>
      <c r="AO145" s="12"/>
      <c r="AP145" s="12"/>
      <c r="AQ145" s="12"/>
      <c r="AR145" s="12"/>
      <c r="AS145" s="12"/>
    </row>
    <row r="146" spans="1:45" hidden="1">
      <c r="A146" s="20" t="s">
        <v>425</v>
      </c>
      <c r="B146" t="s">
        <v>426</v>
      </c>
      <c r="I146" s="29">
        <v>1</v>
      </c>
      <c r="M146" t="s">
        <v>350</v>
      </c>
      <c r="N146" t="s">
        <v>367</v>
      </c>
      <c r="P146">
        <v>50</v>
      </c>
      <c r="Q146" s="14">
        <v>0.88</v>
      </c>
      <c r="R146" s="14">
        <f>(SUM(D146:G146,I146))*Q146</f>
        <v>0.88</v>
      </c>
      <c r="S146">
        <v>2</v>
      </c>
      <c r="T146">
        <f>+Tableau1[[#This Row],[DELAIS (w)]]*7</f>
        <v>14</v>
      </c>
      <c r="U146"/>
      <c r="W146">
        <f>(Tableau1[[#This Row],[DELAIS (w)]]+2)*(2*SUM(Tableau1[[#This Row],[086401 - Train mobile équipé pour DIPRO 3x]:[086885 - Ensemble Codeur - DIPRO 3x]]))</f>
        <v>8</v>
      </c>
      <c r="X146">
        <f>+Tableau1[[#This Row],[STOCK disponible]]/(SUM(Tableau1[[#This Row],[086401 - Train mobile équipé pour DIPRO 3x]:[086885 - Ensemble Codeur - DIPRO 3x]])*2.5)</f>
        <v>0</v>
      </c>
      <c r="Y146" s="9">
        <f ca="1">TODAY()+(Tableau1[[#This Row],[COUVERTURE W (capa 2,5M/S)]]*7)</f>
        <v>46219</v>
      </c>
      <c r="Z146" s="9"/>
      <c r="AD146" s="9" t="str">
        <f>IF(ISBLANK(Tableau1[[#This Row],[date de livraison réappro]]),"",(IF(Tableau1[[#This Row],[date de livraison réappro]]&lt;Tableau1[[#This Row],[date de rupture estimé]],"OK","RUPTURE")))</f>
        <v/>
      </c>
      <c r="AE146" s="16"/>
      <c r="AG146" s="44"/>
      <c r="AM146" s="12"/>
      <c r="AN146" s="12"/>
      <c r="AO146" s="12"/>
      <c r="AP146" s="12"/>
      <c r="AQ146" s="12"/>
      <c r="AR146" s="12"/>
      <c r="AS146" s="12"/>
    </row>
    <row r="147" spans="1:45" hidden="1">
      <c r="A147" s="20" t="s">
        <v>427</v>
      </c>
      <c r="B147" t="s">
        <v>428</v>
      </c>
      <c r="D147" s="32">
        <v>7</v>
      </c>
      <c r="E147" s="32">
        <v>7</v>
      </c>
      <c r="F147" s="32"/>
      <c r="G147" s="32"/>
      <c r="H147" s="1"/>
      <c r="I147" s="32"/>
      <c r="J147" s="1"/>
      <c r="K147" s="1"/>
      <c r="L147" s="1"/>
      <c r="M147" s="1" t="s">
        <v>308</v>
      </c>
      <c r="N147" s="1" t="s">
        <v>363</v>
      </c>
      <c r="O147" s="1" t="s">
        <v>429</v>
      </c>
      <c r="P147" s="1">
        <v>200</v>
      </c>
      <c r="Q147" s="14">
        <v>6.0900000000000003E-2</v>
      </c>
      <c r="R147" s="14">
        <f>(SUM(D147:G147,I147))*Q147</f>
        <v>0.85260000000000002</v>
      </c>
      <c r="S147" s="1">
        <v>2</v>
      </c>
      <c r="T147">
        <f>+Tableau1[[#This Row],[DELAIS (w)]]*7</f>
        <v>14</v>
      </c>
      <c r="U147"/>
      <c r="Y147" s="9"/>
      <c r="Z147" s="9"/>
      <c r="AD147" s="9" t="str">
        <f>IF(ISBLANK(Tableau1[[#This Row],[date de livraison réappro]]),"",(IF(Tableau1[[#This Row],[date de livraison réappro]]&lt;Tableau1[[#This Row],[date de rupture estimé]],"OK","RUPTURE")))</f>
        <v/>
      </c>
      <c r="AE147" s="16"/>
      <c r="AG147" s="44"/>
      <c r="AM147" s="12"/>
      <c r="AN147" s="12"/>
      <c r="AO147" s="12"/>
      <c r="AP147" s="12"/>
      <c r="AQ147" s="12"/>
      <c r="AR147" s="12"/>
      <c r="AS147" s="12"/>
    </row>
    <row r="148" spans="1:45" hidden="1">
      <c r="A148" s="20" t="s">
        <v>430</v>
      </c>
      <c r="B148" s="21" t="s">
        <v>431</v>
      </c>
      <c r="C148" s="21"/>
      <c r="D148" s="32">
        <v>6</v>
      </c>
      <c r="E148" s="32">
        <v>6</v>
      </c>
      <c r="F148" s="32"/>
      <c r="G148" s="32"/>
      <c r="H148" s="1"/>
      <c r="I148" s="32"/>
      <c r="J148" s="1"/>
      <c r="K148" s="1"/>
      <c r="L148" s="1"/>
      <c r="M148" s="1" t="s">
        <v>308</v>
      </c>
      <c r="N148" s="1" t="s">
        <v>363</v>
      </c>
      <c r="O148" s="1"/>
      <c r="P148" s="1">
        <v>100</v>
      </c>
      <c r="Q148" s="14">
        <v>6.9900000000000004E-2</v>
      </c>
      <c r="R148" s="14">
        <f>(SUM(D148:G148,I148))*Q148</f>
        <v>0.83879999999999999</v>
      </c>
      <c r="S148" s="1">
        <v>2</v>
      </c>
      <c r="T148">
        <f>+Tableau1[[#This Row],[DELAIS (w)]]*7</f>
        <v>14</v>
      </c>
      <c r="U148"/>
      <c r="Y148" s="9"/>
      <c r="Z148" s="9"/>
      <c r="AD148" s="9" t="str">
        <f>IF(ISBLANK(Tableau1[[#This Row],[date de livraison réappro]]),"",(IF(Tableau1[[#This Row],[date de livraison réappro]]&lt;Tableau1[[#This Row],[date de rupture estimé]],"OK","RUPTURE")))</f>
        <v/>
      </c>
      <c r="AE148" s="16"/>
      <c r="AG148" s="44"/>
      <c r="AM148" s="12"/>
      <c r="AN148" s="12"/>
      <c r="AO148" s="12"/>
      <c r="AP148" s="12"/>
      <c r="AQ148" s="12"/>
      <c r="AR148" s="12"/>
      <c r="AS148" s="12"/>
    </row>
    <row r="149" spans="1:45" hidden="1">
      <c r="A149" s="20" t="s">
        <v>432</v>
      </c>
      <c r="B149" t="s">
        <v>433</v>
      </c>
      <c r="F149" s="29">
        <v>4</v>
      </c>
      <c r="M149" t="s">
        <v>308</v>
      </c>
      <c r="N149" t="s">
        <v>363</v>
      </c>
      <c r="O149" t="s">
        <v>434</v>
      </c>
      <c r="P149">
        <v>100</v>
      </c>
      <c r="Q149" s="12">
        <v>0.18590000000000001</v>
      </c>
      <c r="R149" s="14">
        <f>(SUM(D149:G149,I149))*Q149</f>
        <v>0.74360000000000004</v>
      </c>
      <c r="S149">
        <v>2</v>
      </c>
      <c r="T149">
        <f>+Tableau1[[#This Row],[DELAIS (w)]]*7</f>
        <v>14</v>
      </c>
      <c r="U149"/>
      <c r="Y149" s="9"/>
      <c r="Z149" s="9"/>
      <c r="AD149" s="9" t="str">
        <f>IF(ISBLANK(Tableau1[[#This Row],[date de livraison réappro]]),"",(IF(Tableau1[[#This Row],[date de livraison réappro]]&lt;Tableau1[[#This Row],[date de rupture estimé]],"OK","RUPTURE")))</f>
        <v/>
      </c>
      <c r="AE149" s="16"/>
      <c r="AG149" s="44"/>
      <c r="AM149" s="12"/>
      <c r="AN149" s="12"/>
      <c r="AO149" s="12"/>
      <c r="AP149" s="12"/>
      <c r="AQ149" s="12"/>
      <c r="AR149" s="12"/>
      <c r="AS149" s="12"/>
    </row>
    <row r="150" spans="1:45" hidden="1">
      <c r="A150" s="20" t="s">
        <v>435</v>
      </c>
      <c r="B150" t="s">
        <v>436</v>
      </c>
      <c r="D150" s="29">
        <v>2</v>
      </c>
      <c r="E150" s="32">
        <v>2</v>
      </c>
      <c r="F150" s="32"/>
      <c r="G150" s="32"/>
      <c r="H150" s="1"/>
      <c r="I150" s="32"/>
      <c r="J150" s="1"/>
      <c r="K150" s="1"/>
      <c r="L150" s="1"/>
      <c r="M150" s="1"/>
      <c r="N150" s="1" t="s">
        <v>363</v>
      </c>
      <c r="O150" s="1"/>
      <c r="P150" s="1">
        <v>100</v>
      </c>
      <c r="Q150" s="14">
        <v>0.1789</v>
      </c>
      <c r="R150" s="14">
        <f>(SUM(D150:G150,I150))*Q150</f>
        <v>0.71560000000000001</v>
      </c>
      <c r="S150" s="1"/>
      <c r="T150">
        <f>+Tableau1[[#This Row],[DELAIS (w)]]*7</f>
        <v>0</v>
      </c>
      <c r="U150">
        <v>19</v>
      </c>
      <c r="V150">
        <v>19</v>
      </c>
      <c r="W150">
        <f>(Tableau1[[#This Row],[DELAIS (w)]]+2)*(2.5*SUM(Tableau1[[#This Row],[086401 - Train mobile équipé pour DIPRO 3x]:[086885 - Ensemble Codeur - DIPRO 3x]]))</f>
        <v>20</v>
      </c>
      <c r="X150">
        <f>+Tableau1[[#This Row],[STOCK disponible]]/(SUM(Tableau1[[#This Row],[086401 - Train mobile équipé pour DIPRO 3x]:[086885 - Ensemble Codeur - DIPRO 3x]])*2.5)</f>
        <v>1.9</v>
      </c>
      <c r="Y150" s="9">
        <f ca="1">TODAY()+(Tableau1[[#This Row],[COUVERTURE W (capa 2,5M/S)]]*7)</f>
        <v>46232.3</v>
      </c>
      <c r="Z150" s="9" t="str">
        <f>IF(Tableau1[[#This Row],[STOCK disponible]]&lt;Tableau1[[#This Row],[SEUIL]],"A COMMANDER","")</f>
        <v>A COMMANDER</v>
      </c>
      <c r="AD150" s="9" t="str">
        <f>IF(ISBLANK(Tableau1[[#This Row],[date de livraison réappro]]),"",(IF(Tableau1[[#This Row],[date de livraison réappro]]&lt;Tableau1[[#This Row],[date de rupture estimé]],"OK","RUPTURE")))</f>
        <v/>
      </c>
      <c r="AE150" s="16"/>
      <c r="AG150" s="44"/>
      <c r="AM150" s="12"/>
      <c r="AN150" s="12"/>
      <c r="AO150" s="12"/>
      <c r="AP150" s="12"/>
      <c r="AQ150" s="12"/>
      <c r="AR150" s="12"/>
      <c r="AS150" s="12"/>
    </row>
    <row r="151" spans="1:45" hidden="1">
      <c r="A151" s="20" t="s">
        <v>437</v>
      </c>
      <c r="B151" s="2" t="s">
        <v>438</v>
      </c>
      <c r="C151" s="2"/>
      <c r="D151" s="29">
        <v>2</v>
      </c>
      <c r="E151" s="29">
        <v>2</v>
      </c>
      <c r="F151" s="32"/>
      <c r="G151" s="32"/>
      <c r="H151" s="1"/>
      <c r="I151" s="32"/>
      <c r="J151" s="1"/>
      <c r="K151" s="1"/>
      <c r="L151" s="1"/>
      <c r="M151" t="s">
        <v>308</v>
      </c>
      <c r="N151" t="s">
        <v>363</v>
      </c>
      <c r="O151" t="s">
        <v>439</v>
      </c>
      <c r="P151">
        <v>100</v>
      </c>
      <c r="Q151" s="12">
        <v>0.12670000000000001</v>
      </c>
      <c r="R151" s="14">
        <f>(SUM(D151:G151,I151))*Q151</f>
        <v>0.50680000000000003</v>
      </c>
      <c r="S151">
        <v>2</v>
      </c>
      <c r="T151">
        <f>+Tableau1[[#This Row],[DELAIS (w)]]*7</f>
        <v>14</v>
      </c>
      <c r="U151"/>
      <c r="Y151" s="9"/>
      <c r="Z151" s="9"/>
      <c r="AD151" s="9" t="str">
        <f>IF(ISBLANK(Tableau1[[#This Row],[date de livraison réappro]]),"",(IF(Tableau1[[#This Row],[date de livraison réappro]]&lt;Tableau1[[#This Row],[date de rupture estimé]],"OK","RUPTURE")))</f>
        <v/>
      </c>
      <c r="AE151" s="16"/>
      <c r="AG151" s="44"/>
      <c r="AM151" s="12"/>
      <c r="AN151" s="12"/>
      <c r="AO151" s="12"/>
      <c r="AP151" s="12"/>
      <c r="AQ151" s="12"/>
      <c r="AR151" s="12"/>
      <c r="AS151" s="12"/>
    </row>
    <row r="152" spans="1:45" hidden="1">
      <c r="A152" s="20" t="s">
        <v>440</v>
      </c>
      <c r="B152" t="s">
        <v>441</v>
      </c>
      <c r="D152" s="32">
        <v>4</v>
      </c>
      <c r="E152" s="32">
        <v>4</v>
      </c>
      <c r="F152" s="32"/>
      <c r="G152" s="32"/>
      <c r="H152" s="1"/>
      <c r="I152" s="32"/>
      <c r="J152" s="1"/>
      <c r="K152" s="1"/>
      <c r="L152" s="1"/>
      <c r="M152" s="1" t="s">
        <v>308</v>
      </c>
      <c r="N152" s="1" t="s">
        <v>363</v>
      </c>
      <c r="O152" s="1"/>
      <c r="P152" s="1">
        <v>100</v>
      </c>
      <c r="Q152" s="14">
        <v>5.1700000000000003E-2</v>
      </c>
      <c r="R152" s="14">
        <f>(SUM(D152:G152,I152))*Q152</f>
        <v>0.41360000000000002</v>
      </c>
      <c r="S152" s="1">
        <v>2</v>
      </c>
      <c r="T152">
        <f>+Tableau1[[#This Row],[DELAIS (w)]]*7</f>
        <v>14</v>
      </c>
      <c r="U152"/>
      <c r="Y152" s="9"/>
      <c r="Z152" s="9"/>
      <c r="AD152" s="9" t="str">
        <f>IF(ISBLANK(Tableau1[[#This Row],[date de livraison réappro]]),"",(IF(Tableau1[[#This Row],[date de livraison réappro]]&lt;Tableau1[[#This Row],[date de rupture estimé]],"OK","RUPTURE")))</f>
        <v/>
      </c>
      <c r="AE152" s="16"/>
      <c r="AG152" s="44"/>
      <c r="AM152" s="12"/>
      <c r="AN152" s="12"/>
      <c r="AO152" s="12"/>
      <c r="AP152" s="12"/>
      <c r="AQ152" s="12"/>
      <c r="AR152" s="12"/>
      <c r="AS152" s="12"/>
    </row>
    <row r="153" spans="1:45" hidden="1">
      <c r="A153" s="20" t="s">
        <v>442</v>
      </c>
      <c r="B153" t="s">
        <v>443</v>
      </c>
      <c r="D153" s="29">
        <v>1</v>
      </c>
      <c r="E153" s="32">
        <v>1</v>
      </c>
      <c r="F153" s="32"/>
      <c r="G153" s="32"/>
      <c r="H153" s="1"/>
      <c r="I153" s="32"/>
      <c r="J153" s="1"/>
      <c r="K153" s="1"/>
      <c r="L153" s="1"/>
      <c r="M153" s="1"/>
      <c r="N153" s="1" t="s">
        <v>363</v>
      </c>
      <c r="O153" s="1"/>
      <c r="P153" s="1">
        <v>50</v>
      </c>
      <c r="Q153" s="14">
        <v>0.184</v>
      </c>
      <c r="R153" s="14">
        <f>(SUM(D153:G153,I153))*Q153</f>
        <v>0.36799999999999999</v>
      </c>
      <c r="S153" s="1"/>
      <c r="T153">
        <f>+Tableau1[[#This Row],[DELAIS (w)]]*7</f>
        <v>0</v>
      </c>
      <c r="U153">
        <v>19</v>
      </c>
      <c r="V153">
        <v>19</v>
      </c>
      <c r="W153">
        <f>(Tableau1[[#This Row],[DELAIS (w)]]+2)*(2.5*SUM(Tableau1[[#This Row],[086401 - Train mobile équipé pour DIPRO 3x]:[086885 - Ensemble Codeur - DIPRO 3x]]))</f>
        <v>10</v>
      </c>
      <c r="X153">
        <f>+Tableau1[[#This Row],[STOCK disponible]]/(SUM(Tableau1[[#This Row],[086401 - Train mobile équipé pour DIPRO 3x]:[086885 - Ensemble Codeur - DIPRO 3x]])*2.5)</f>
        <v>3.8</v>
      </c>
      <c r="Y153" s="9">
        <f ca="1">TODAY()+(Tableau1[[#This Row],[COUVERTURE W (capa 2,5M/S)]]*7)</f>
        <v>46245.599999999999</v>
      </c>
      <c r="Z153" s="9" t="str">
        <f>IF(Tableau1[[#This Row],[STOCK disponible]]&lt;Tableau1[[#This Row],[SEUIL]],"A COMMANDER","")</f>
        <v/>
      </c>
      <c r="AD153" s="9" t="str">
        <f>IF(ISBLANK(Tableau1[[#This Row],[date de livraison réappro]]),"",(IF(Tableau1[[#This Row],[date de livraison réappro]]&lt;Tableau1[[#This Row],[date de rupture estimé]],"OK","RUPTURE")))</f>
        <v/>
      </c>
      <c r="AE153" s="16"/>
      <c r="AG153" s="44"/>
      <c r="AM153" s="12"/>
      <c r="AN153" s="12"/>
      <c r="AO153" s="12"/>
      <c r="AP153" s="12"/>
      <c r="AQ153" s="12"/>
      <c r="AR153" s="12"/>
      <c r="AS153" s="12"/>
    </row>
    <row r="154" spans="1:45" hidden="1">
      <c r="A154" s="20" t="s">
        <v>444</v>
      </c>
      <c r="B154" t="s">
        <v>445</v>
      </c>
      <c r="D154" s="32"/>
      <c r="E154" s="29">
        <v>1</v>
      </c>
      <c r="F154" s="32"/>
      <c r="G154" s="32"/>
      <c r="H154" s="1"/>
      <c r="I154" s="32"/>
      <c r="J154" s="1"/>
      <c r="K154" s="1"/>
      <c r="L154" s="1"/>
      <c r="M154" s="1"/>
      <c r="N154" s="1" t="s">
        <v>363</v>
      </c>
      <c r="O154" s="1"/>
      <c r="P154" s="1">
        <v>50</v>
      </c>
      <c r="Q154" s="14">
        <v>0.36149999999999999</v>
      </c>
      <c r="R154" s="14">
        <f>(SUM(D154:G154,I154))*Q154</f>
        <v>0.36149999999999999</v>
      </c>
      <c r="S154" s="1"/>
      <c r="T154">
        <f>+Tableau1[[#This Row],[DELAIS (w)]]*7</f>
        <v>0</v>
      </c>
      <c r="U154">
        <v>19</v>
      </c>
      <c r="V154">
        <v>19</v>
      </c>
      <c r="W154">
        <f>(Tableau1[[#This Row],[DELAIS (w)]]+2)*(2.5*SUM(Tableau1[[#This Row],[086401 - Train mobile équipé pour DIPRO 3x]:[086885 - Ensemble Codeur - DIPRO 3x]]))</f>
        <v>5</v>
      </c>
      <c r="X154">
        <f>+Tableau1[[#This Row],[STOCK disponible]]/(SUM(Tableau1[[#This Row],[086401 - Train mobile équipé pour DIPRO 3x]:[086885 - Ensemble Codeur - DIPRO 3x]])*2.5)</f>
        <v>7.6</v>
      </c>
      <c r="Y154" s="9">
        <f ca="1">TODAY()+(Tableau1[[#This Row],[COUVERTURE W (capa 2,5M/S)]]*7)</f>
        <v>46272.2</v>
      </c>
      <c r="Z154" s="9" t="str">
        <f>IF(Tableau1[[#This Row],[STOCK disponible]]&lt;Tableau1[[#This Row],[SEUIL]],"A COMMANDER","")</f>
        <v/>
      </c>
      <c r="AD154" s="9" t="str">
        <f>IF(ISBLANK(Tableau1[[#This Row],[date de livraison réappro]]),"",(IF(Tableau1[[#This Row],[date de livraison réappro]]&lt;Tableau1[[#This Row],[date de rupture estimé]],"OK","RUPTURE")))</f>
        <v/>
      </c>
      <c r="AE154" s="16"/>
      <c r="AG154" s="44"/>
      <c r="AM154" s="12"/>
      <c r="AN154" s="12"/>
      <c r="AO154" s="12"/>
      <c r="AP154" s="12"/>
      <c r="AQ154" s="12"/>
      <c r="AR154" s="12"/>
      <c r="AS154" s="12"/>
    </row>
    <row r="155" spans="1:45" hidden="1">
      <c r="A155" s="20" t="s">
        <v>446</v>
      </c>
      <c r="B155" t="s">
        <v>447</v>
      </c>
      <c r="D155" s="29">
        <v>1</v>
      </c>
      <c r="E155" s="32">
        <v>1</v>
      </c>
      <c r="F155" s="32"/>
      <c r="G155" s="32"/>
      <c r="H155" s="1"/>
      <c r="I155" s="32"/>
      <c r="J155" s="1"/>
      <c r="K155" s="1"/>
      <c r="L155" s="1"/>
      <c r="M155" s="1"/>
      <c r="N155" s="1" t="s">
        <v>363</v>
      </c>
      <c r="O155" s="1"/>
      <c r="P155" s="1">
        <v>50</v>
      </c>
      <c r="Q155" s="14">
        <v>0.17949999999999999</v>
      </c>
      <c r="R155" s="14">
        <f>(SUM(D155:G155,I155))*Q155</f>
        <v>0.35899999999999999</v>
      </c>
      <c r="S155" s="1"/>
      <c r="T155">
        <f>+Tableau1[[#This Row],[DELAIS (w)]]*7</f>
        <v>0</v>
      </c>
      <c r="U155">
        <v>19</v>
      </c>
      <c r="V155">
        <v>19</v>
      </c>
      <c r="W155">
        <f>(Tableau1[[#This Row],[DELAIS (w)]]+2)*(2.5*SUM(Tableau1[[#This Row],[086401 - Train mobile équipé pour DIPRO 3x]:[086885 - Ensemble Codeur - DIPRO 3x]]))</f>
        <v>10</v>
      </c>
      <c r="X155">
        <f>+Tableau1[[#This Row],[STOCK disponible]]/(SUM(Tableau1[[#This Row],[086401 - Train mobile équipé pour DIPRO 3x]:[086885 - Ensemble Codeur - DIPRO 3x]])*2.5)</f>
        <v>3.8</v>
      </c>
      <c r="Y155" s="9">
        <f ca="1">TODAY()+(Tableau1[[#This Row],[COUVERTURE W (capa 2,5M/S)]]*7)</f>
        <v>46245.599999999999</v>
      </c>
      <c r="Z155" s="9" t="str">
        <f>IF(Tableau1[[#This Row],[STOCK disponible]]&lt;Tableau1[[#This Row],[SEUIL]],"A COMMANDER","")</f>
        <v/>
      </c>
      <c r="AD155" s="9" t="str">
        <f>IF(ISBLANK(Tableau1[[#This Row],[date de livraison réappro]]),"",(IF(Tableau1[[#This Row],[date de livraison réappro]]&lt;Tableau1[[#This Row],[date de rupture estimé]],"OK","RUPTURE")))</f>
        <v/>
      </c>
      <c r="AE155" s="16"/>
      <c r="AG155" s="44"/>
      <c r="AM155" s="12"/>
      <c r="AN155" s="12"/>
      <c r="AO155" s="12"/>
      <c r="AP155" s="12"/>
      <c r="AQ155" s="12"/>
      <c r="AR155" s="12"/>
      <c r="AS155" s="12"/>
    </row>
    <row r="156" spans="1:45" hidden="1">
      <c r="A156" s="20" t="s">
        <v>448</v>
      </c>
      <c r="B156" t="s">
        <v>449</v>
      </c>
      <c r="D156" s="29">
        <v>1</v>
      </c>
      <c r="E156" s="32"/>
      <c r="F156" s="32"/>
      <c r="G156" s="32"/>
      <c r="H156" s="1"/>
      <c r="I156" s="32"/>
      <c r="J156" s="1"/>
      <c r="K156" s="1"/>
      <c r="L156" s="1"/>
      <c r="M156" s="1"/>
      <c r="N156" s="1" t="s">
        <v>450</v>
      </c>
      <c r="O156" s="1"/>
      <c r="P156" s="1">
        <v>20</v>
      </c>
      <c r="Q156" s="14">
        <v>0.35</v>
      </c>
      <c r="R156" s="14">
        <f>(SUM(D156:G156,I156))*Q156</f>
        <v>0.35</v>
      </c>
      <c r="S156" s="1"/>
      <c r="T156">
        <f>+Tableau1[[#This Row],[DELAIS (w)]]*7</f>
        <v>0</v>
      </c>
      <c r="U156">
        <v>19</v>
      </c>
      <c r="V156">
        <v>19</v>
      </c>
      <c r="W156">
        <f>(Tableau1[[#This Row],[DELAIS (w)]]+2)*(2.5*SUM(Tableau1[[#This Row],[086401 - Train mobile équipé pour DIPRO 3x]:[086885 - Ensemble Codeur - DIPRO 3x]]))</f>
        <v>5</v>
      </c>
      <c r="X156">
        <f>+Tableau1[[#This Row],[STOCK disponible]]/(SUM(Tableau1[[#This Row],[086401 - Train mobile équipé pour DIPRO 3x]:[086885 - Ensemble Codeur - DIPRO 3x]])*2.5)</f>
        <v>7.6</v>
      </c>
      <c r="Y156" s="9">
        <f ca="1">TODAY()+(Tableau1[[#This Row],[COUVERTURE W (capa 2,5M/S)]]*7)</f>
        <v>46272.2</v>
      </c>
      <c r="Z156" s="9" t="str">
        <f>IF(Tableau1[[#This Row],[STOCK disponible]]&lt;Tableau1[[#This Row],[SEUIL]],"A COMMANDER","")</f>
        <v/>
      </c>
      <c r="AD156" s="9" t="str">
        <f>IF(ISBLANK(Tableau1[[#This Row],[date de livraison réappro]]),"",(IF(Tableau1[[#This Row],[date de livraison réappro]]&lt;Tableau1[[#This Row],[date de rupture estimé]],"OK","RUPTURE")))</f>
        <v/>
      </c>
      <c r="AE156" s="16"/>
      <c r="AG156" s="44"/>
      <c r="AM156" s="12"/>
      <c r="AN156" s="12"/>
      <c r="AO156" s="12"/>
      <c r="AP156" s="12"/>
      <c r="AQ156" s="12"/>
      <c r="AR156" s="12"/>
      <c r="AS156" s="12"/>
    </row>
    <row r="157" spans="1:45" hidden="1">
      <c r="A157" s="20" t="s">
        <v>451</v>
      </c>
      <c r="B157" t="s">
        <v>452</v>
      </c>
      <c r="D157" s="29">
        <v>1</v>
      </c>
      <c r="E157" s="32"/>
      <c r="F157" s="32"/>
      <c r="G157" s="32"/>
      <c r="H157" s="1"/>
      <c r="I157" s="32"/>
      <c r="J157" s="1"/>
      <c r="K157" s="1"/>
      <c r="L157" s="1"/>
      <c r="M157" s="1"/>
      <c r="N157" s="1" t="s">
        <v>450</v>
      </c>
      <c r="O157" s="1"/>
      <c r="P157" s="1">
        <v>20</v>
      </c>
      <c r="Q157" s="14">
        <v>0.34</v>
      </c>
      <c r="R157" s="14">
        <f>(SUM(D157:G157,I157))*Q157</f>
        <v>0.34</v>
      </c>
      <c r="S157" s="1"/>
      <c r="T157">
        <f>+Tableau1[[#This Row],[DELAIS (w)]]*7</f>
        <v>0</v>
      </c>
      <c r="U157">
        <v>19</v>
      </c>
      <c r="V157">
        <v>19</v>
      </c>
      <c r="W157">
        <f>(Tableau1[[#This Row],[DELAIS (w)]]+2)*(2.5*SUM(Tableau1[[#This Row],[086401 - Train mobile équipé pour DIPRO 3x]:[086885 - Ensemble Codeur - DIPRO 3x]]))</f>
        <v>5</v>
      </c>
      <c r="X157">
        <f>+Tableau1[[#This Row],[STOCK disponible]]/(SUM(Tableau1[[#This Row],[086401 - Train mobile équipé pour DIPRO 3x]:[086885 - Ensemble Codeur - DIPRO 3x]])*2.5)</f>
        <v>7.6</v>
      </c>
      <c r="Y157" s="9">
        <f ca="1">TODAY()+(Tableau1[[#This Row],[COUVERTURE W (capa 2,5M/S)]]*7)</f>
        <v>46272.2</v>
      </c>
      <c r="Z157" s="9" t="str">
        <f>IF(Tableau1[[#This Row],[STOCK disponible]]&lt;Tableau1[[#This Row],[SEUIL]],"A COMMANDER","")</f>
        <v/>
      </c>
      <c r="AD157" s="9" t="str">
        <f>IF(ISBLANK(Tableau1[[#This Row],[date de livraison réappro]]),"",(IF(Tableau1[[#This Row],[date de livraison réappro]]&lt;Tableau1[[#This Row],[date de rupture estimé]],"OK","RUPTURE")))</f>
        <v/>
      </c>
      <c r="AE157" s="16"/>
      <c r="AG157" s="44"/>
      <c r="AM157" s="12"/>
      <c r="AN157" s="12"/>
      <c r="AO157" s="12"/>
      <c r="AP157" s="12"/>
      <c r="AQ157" s="12"/>
      <c r="AR157" s="12"/>
      <c r="AS157" s="12"/>
    </row>
    <row r="158" spans="1:45" hidden="1">
      <c r="A158" s="20" t="s">
        <v>453</v>
      </c>
      <c r="B158" t="s">
        <v>454</v>
      </c>
      <c r="D158" s="29">
        <v>1</v>
      </c>
      <c r="E158" s="32"/>
      <c r="F158" s="32"/>
      <c r="G158" s="32"/>
      <c r="H158" s="1"/>
      <c r="I158" s="32"/>
      <c r="J158" s="1"/>
      <c r="K158" s="1"/>
      <c r="L158" s="1"/>
      <c r="M158" s="1"/>
      <c r="N158" s="1" t="s">
        <v>450</v>
      </c>
      <c r="O158" s="1"/>
      <c r="P158" s="1">
        <v>20</v>
      </c>
      <c r="Q158" s="14">
        <v>0.34</v>
      </c>
      <c r="R158" s="14">
        <f>(SUM(D158:G158,I158))*Q158</f>
        <v>0.34</v>
      </c>
      <c r="S158" s="1"/>
      <c r="T158">
        <f>+Tableau1[[#This Row],[DELAIS (w)]]*7</f>
        <v>0</v>
      </c>
      <c r="U158">
        <v>19</v>
      </c>
      <c r="V158">
        <v>19</v>
      </c>
      <c r="W158">
        <f>(Tableau1[[#This Row],[DELAIS (w)]]+2)*(2.5*SUM(Tableau1[[#This Row],[086401 - Train mobile équipé pour DIPRO 3x]:[086885 - Ensemble Codeur - DIPRO 3x]]))</f>
        <v>5</v>
      </c>
      <c r="X158">
        <f>+Tableau1[[#This Row],[STOCK disponible]]/(SUM(Tableau1[[#This Row],[086401 - Train mobile équipé pour DIPRO 3x]:[086885 - Ensemble Codeur - DIPRO 3x]])*2.5)</f>
        <v>7.6</v>
      </c>
      <c r="Y158" s="9">
        <f ca="1">TODAY()+(Tableau1[[#This Row],[COUVERTURE W (capa 2,5M/S)]]*7)</f>
        <v>46272.2</v>
      </c>
      <c r="Z158" s="9" t="str">
        <f>IF(Tableau1[[#This Row],[STOCK disponible]]&lt;Tableau1[[#This Row],[SEUIL]],"A COMMANDER","")</f>
        <v/>
      </c>
      <c r="AD158" s="9" t="str">
        <f>IF(ISBLANK(Tableau1[[#This Row],[date de livraison réappro]]),"",(IF(Tableau1[[#This Row],[date de livraison réappro]]&lt;Tableau1[[#This Row],[date de rupture estimé]],"OK","RUPTURE")))</f>
        <v/>
      </c>
      <c r="AE158" s="16"/>
      <c r="AG158" s="44"/>
      <c r="AM158" s="12"/>
      <c r="AN158" s="12"/>
      <c r="AO158" s="12"/>
      <c r="AP158" s="12"/>
      <c r="AQ158" s="12"/>
      <c r="AR158" s="12"/>
      <c r="AS158" s="12"/>
    </row>
    <row r="159" spans="1:45" hidden="1">
      <c r="A159" s="20" t="s">
        <v>455</v>
      </c>
      <c r="B159" s="2" t="s">
        <v>456</v>
      </c>
      <c r="C159" s="2"/>
      <c r="D159" s="29">
        <v>29</v>
      </c>
      <c r="E159" s="29">
        <v>29</v>
      </c>
      <c r="F159" s="32">
        <v>8</v>
      </c>
      <c r="G159" s="32"/>
      <c r="H159" s="1"/>
      <c r="I159" s="32"/>
      <c r="J159" s="1"/>
      <c r="K159" s="1"/>
      <c r="L159" s="1"/>
      <c r="M159" t="s">
        <v>308</v>
      </c>
      <c r="N159" t="s">
        <v>363</v>
      </c>
      <c r="O159" t="s">
        <v>457</v>
      </c>
      <c r="P159">
        <v>200</v>
      </c>
      <c r="Q159" s="12">
        <v>5.0000000000000001E-3</v>
      </c>
      <c r="R159" s="14">
        <f>(SUM(D159:G159,I159))*Q159</f>
        <v>0.33</v>
      </c>
      <c r="S159">
        <v>2</v>
      </c>
      <c r="T159">
        <f>+Tableau1[[#This Row],[DELAIS (w)]]*7</f>
        <v>14</v>
      </c>
      <c r="U159"/>
      <c r="Y159" s="9"/>
      <c r="Z159" s="9"/>
      <c r="AD159" s="9" t="str">
        <f>IF(ISBLANK(Tableau1[[#This Row],[date de livraison réappro]]),"",(IF(Tableau1[[#This Row],[date de livraison réappro]]&lt;Tableau1[[#This Row],[date de rupture estimé]],"OK","RUPTURE")))</f>
        <v/>
      </c>
      <c r="AE159" s="16"/>
      <c r="AG159" s="44"/>
      <c r="AM159" s="12"/>
      <c r="AN159" s="12"/>
      <c r="AO159" s="12"/>
      <c r="AP159" s="12"/>
      <c r="AQ159" s="12"/>
      <c r="AR159" s="12"/>
      <c r="AS159" s="12"/>
    </row>
    <row r="160" spans="1:45" hidden="1">
      <c r="A160" s="20" t="s">
        <v>458</v>
      </c>
      <c r="B160" s="21" t="s">
        <v>459</v>
      </c>
      <c r="C160" s="21"/>
      <c r="D160" s="32"/>
      <c r="E160" s="32"/>
      <c r="F160" s="32"/>
      <c r="G160" s="32"/>
      <c r="H160" s="2">
        <v>6</v>
      </c>
      <c r="I160" s="32">
        <v>6</v>
      </c>
      <c r="J160" s="1"/>
      <c r="K160" s="1"/>
      <c r="L160" s="1"/>
      <c r="M160" t="s">
        <v>308</v>
      </c>
      <c r="N160" t="s">
        <v>363</v>
      </c>
      <c r="O160" t="s">
        <v>460</v>
      </c>
      <c r="P160">
        <v>100</v>
      </c>
      <c r="Q160" s="12">
        <v>4.8599999999999997E-2</v>
      </c>
      <c r="R160" s="14">
        <f>(SUM(D160:G160,I160))*Q160</f>
        <v>0.29159999999999997</v>
      </c>
      <c r="S160">
        <v>2</v>
      </c>
      <c r="T160">
        <f>+Tableau1[[#This Row],[DELAIS (w)]]*7</f>
        <v>14</v>
      </c>
      <c r="U160"/>
      <c r="Y160" s="9"/>
      <c r="Z160" s="9"/>
      <c r="AD160" s="9" t="str">
        <f>IF(ISBLANK(Tableau1[[#This Row],[date de livraison réappro]]),"",(IF(Tableau1[[#This Row],[date de livraison réappro]]&lt;Tableau1[[#This Row],[date de rupture estimé]],"OK","RUPTURE")))</f>
        <v/>
      </c>
      <c r="AE160" s="16"/>
      <c r="AG160" s="44"/>
      <c r="AM160" s="12"/>
      <c r="AN160" s="12"/>
      <c r="AO160" s="12"/>
      <c r="AP160" s="12"/>
      <c r="AQ160" s="12"/>
      <c r="AR160" s="12"/>
      <c r="AS160" s="12"/>
    </row>
    <row r="161" spans="1:45" hidden="1">
      <c r="A161" s="20" t="s">
        <v>461</v>
      </c>
      <c r="B161" t="s">
        <v>462</v>
      </c>
      <c r="D161" s="32"/>
      <c r="E161" s="29">
        <v>1</v>
      </c>
      <c r="F161" s="32"/>
      <c r="G161" s="32"/>
      <c r="H161" s="1"/>
      <c r="I161" s="32"/>
      <c r="J161" s="1"/>
      <c r="K161" s="1"/>
      <c r="L161" s="1"/>
      <c r="M161" s="1"/>
      <c r="N161" s="1" t="s">
        <v>363</v>
      </c>
      <c r="O161" s="1"/>
      <c r="P161" s="1">
        <v>50</v>
      </c>
      <c r="Q161" s="14">
        <v>0.29039999999999999</v>
      </c>
      <c r="R161" s="14">
        <f>(SUM(D161:G161,I161))*Q161</f>
        <v>0.29039999999999999</v>
      </c>
      <c r="S161" s="1"/>
      <c r="T161">
        <f>+Tableau1[[#This Row],[DELAIS (w)]]*7</f>
        <v>0</v>
      </c>
      <c r="U161">
        <v>19</v>
      </c>
      <c r="V161">
        <v>19</v>
      </c>
      <c r="W161">
        <f>(Tableau1[[#This Row],[DELAIS (w)]]+2)*(2.5*SUM(Tableau1[[#This Row],[086401 - Train mobile équipé pour DIPRO 3x]:[086885 - Ensemble Codeur - DIPRO 3x]]))</f>
        <v>5</v>
      </c>
      <c r="X161">
        <f>+Tableau1[[#This Row],[STOCK disponible]]/(SUM(Tableau1[[#This Row],[086401 - Train mobile équipé pour DIPRO 3x]:[086885 - Ensemble Codeur - DIPRO 3x]])*2.5)</f>
        <v>7.6</v>
      </c>
      <c r="Y161" s="9">
        <f ca="1">TODAY()+(Tableau1[[#This Row],[COUVERTURE W (capa 2,5M/S)]]*7)</f>
        <v>46272.2</v>
      </c>
      <c r="Z161" s="9" t="str">
        <f>IF(Tableau1[[#This Row],[STOCK disponible]]&lt;Tableau1[[#This Row],[SEUIL]],"A COMMANDER","")</f>
        <v/>
      </c>
      <c r="AD161" s="9" t="str">
        <f>IF(ISBLANK(Tableau1[[#This Row],[date de livraison réappro]]),"",(IF(Tableau1[[#This Row],[date de livraison réappro]]&lt;Tableau1[[#This Row],[date de rupture estimé]],"OK","RUPTURE")))</f>
        <v/>
      </c>
      <c r="AE161" s="16"/>
      <c r="AG161" s="44"/>
      <c r="AM161" s="12"/>
      <c r="AN161" s="12"/>
      <c r="AO161" s="12"/>
      <c r="AP161" s="12"/>
      <c r="AQ161" s="12"/>
      <c r="AR161" s="12"/>
      <c r="AS161" s="12"/>
    </row>
    <row r="162" spans="1:45" hidden="1">
      <c r="A162" s="20" t="s">
        <v>463</v>
      </c>
      <c r="B162" t="s">
        <v>464</v>
      </c>
      <c r="F162" s="29">
        <v>2</v>
      </c>
      <c r="M162" t="s">
        <v>308</v>
      </c>
      <c r="N162" t="s">
        <v>363</v>
      </c>
      <c r="O162" t="s">
        <v>465</v>
      </c>
      <c r="P162">
        <v>50</v>
      </c>
      <c r="Q162" s="12">
        <v>0.1235</v>
      </c>
      <c r="R162" s="14">
        <f>(SUM(D162:G162,I162))*Q162</f>
        <v>0.247</v>
      </c>
      <c r="S162">
        <v>2</v>
      </c>
      <c r="T162">
        <f>+Tableau1[[#This Row],[DELAIS (w)]]*7</f>
        <v>14</v>
      </c>
      <c r="U162"/>
      <c r="Y162" s="9"/>
      <c r="Z162" s="9"/>
      <c r="AD162" s="9" t="str">
        <f>IF(ISBLANK(Tableau1[[#This Row],[date de livraison réappro]]),"",(IF(Tableau1[[#This Row],[date de livraison réappro]]&lt;Tableau1[[#This Row],[date de rupture estimé]],"OK","RUPTURE")))</f>
        <v/>
      </c>
      <c r="AE162" s="16"/>
      <c r="AG162" s="44"/>
      <c r="AM162" s="12"/>
      <c r="AN162" s="12"/>
      <c r="AO162" s="12"/>
      <c r="AP162" s="12"/>
      <c r="AQ162" s="12"/>
      <c r="AR162" s="12"/>
      <c r="AS162" s="12"/>
    </row>
    <row r="163" spans="1:45" hidden="1">
      <c r="A163" s="20" t="s">
        <v>466</v>
      </c>
      <c r="B163" t="s">
        <v>467</v>
      </c>
      <c r="D163" s="32">
        <v>8</v>
      </c>
      <c r="E163" s="32">
        <v>8</v>
      </c>
      <c r="F163" s="32"/>
      <c r="G163" s="32"/>
      <c r="H163" s="1"/>
      <c r="I163" s="32"/>
      <c r="J163" s="1"/>
      <c r="K163" s="1"/>
      <c r="L163" s="1"/>
      <c r="M163" s="1" t="s">
        <v>308</v>
      </c>
      <c r="N163" s="1" t="s">
        <v>363</v>
      </c>
      <c r="O163" s="1"/>
      <c r="P163" s="1">
        <v>500</v>
      </c>
      <c r="Q163" s="14">
        <v>1.41E-2</v>
      </c>
      <c r="R163" s="14">
        <f>(SUM(D163:G163,I163))*Q163</f>
        <v>0.22559999999999999</v>
      </c>
      <c r="S163" s="1">
        <v>2</v>
      </c>
      <c r="T163">
        <f>+Tableau1[[#This Row],[DELAIS (w)]]*7</f>
        <v>14</v>
      </c>
      <c r="U163"/>
      <c r="Y163" s="9"/>
      <c r="Z163" s="9"/>
      <c r="AD163" s="9" t="str">
        <f>IF(ISBLANK(Tableau1[[#This Row],[date de livraison réappro]]),"",(IF(Tableau1[[#This Row],[date de livraison réappro]]&lt;Tableau1[[#This Row],[date de rupture estimé]],"OK","RUPTURE")))</f>
        <v/>
      </c>
      <c r="AE163" s="16"/>
      <c r="AG163" s="44"/>
      <c r="AM163" s="12"/>
      <c r="AN163" s="12"/>
      <c r="AO163" s="12"/>
      <c r="AP163" s="12"/>
      <c r="AQ163" s="12"/>
      <c r="AR163" s="12"/>
      <c r="AS163" s="12"/>
    </row>
    <row r="164" spans="1:45" hidden="1">
      <c r="A164" s="20" t="s">
        <v>468</v>
      </c>
      <c r="B164" t="s">
        <v>469</v>
      </c>
      <c r="D164" s="36"/>
      <c r="E164" s="37">
        <v>1</v>
      </c>
      <c r="F164" s="34"/>
      <c r="G164" s="34"/>
      <c r="H164" s="3"/>
      <c r="I164" s="32"/>
      <c r="J164" s="3"/>
      <c r="K164" s="3"/>
      <c r="L164" s="3"/>
      <c r="M164" s="1"/>
      <c r="N164" s="1" t="s">
        <v>363</v>
      </c>
      <c r="O164" s="1"/>
      <c r="P164" s="1">
        <v>50</v>
      </c>
      <c r="Q164" s="14">
        <v>0.1943</v>
      </c>
      <c r="R164" s="14">
        <f>(SUM(D164:G164,I164))*Q164</f>
        <v>0.1943</v>
      </c>
      <c r="S164" s="1"/>
      <c r="T164">
        <f>+Tableau1[[#This Row],[DELAIS (w)]]*7</f>
        <v>0</v>
      </c>
      <c r="U164">
        <v>19</v>
      </c>
      <c r="V164">
        <v>19</v>
      </c>
      <c r="W164">
        <f>(Tableau1[[#This Row],[DELAIS (w)]]+2)*(2.5*SUM(Tableau1[[#This Row],[086401 - Train mobile équipé pour DIPRO 3x]:[086885 - Ensemble Codeur - DIPRO 3x]]))</f>
        <v>5</v>
      </c>
      <c r="X164">
        <f>+Tableau1[[#This Row],[STOCK disponible]]/(SUM(Tableau1[[#This Row],[086401 - Train mobile équipé pour DIPRO 3x]:[086885 - Ensemble Codeur - DIPRO 3x]])*2.5)</f>
        <v>7.6</v>
      </c>
      <c r="Y164" s="9">
        <f ca="1">TODAY()+(Tableau1[[#This Row],[COUVERTURE W (capa 2,5M/S)]]*7)</f>
        <v>46272.2</v>
      </c>
      <c r="Z164" s="9" t="str">
        <f>IF(Tableau1[[#This Row],[STOCK disponible]]&lt;Tableau1[[#This Row],[SEUIL]],"A COMMANDER","")</f>
        <v/>
      </c>
      <c r="AD164" s="9" t="str">
        <f>IF(ISBLANK(Tableau1[[#This Row],[date de livraison réappro]]),"",(IF(Tableau1[[#This Row],[date de livraison réappro]]&lt;Tableau1[[#This Row],[date de rupture estimé]],"OK","RUPTURE")))</f>
        <v/>
      </c>
      <c r="AE164" s="16"/>
      <c r="AG164" s="44"/>
      <c r="AM164" s="12"/>
      <c r="AN164" s="12"/>
      <c r="AO164" s="12"/>
      <c r="AP164" s="12"/>
      <c r="AQ164" s="12"/>
      <c r="AR164" s="12"/>
      <c r="AS164" s="12"/>
    </row>
    <row r="165" spans="1:45" hidden="1">
      <c r="A165" s="20" t="s">
        <v>470</v>
      </c>
      <c r="B165" s="21" t="s">
        <v>471</v>
      </c>
      <c r="C165" s="21"/>
      <c r="H165">
        <v>7</v>
      </c>
      <c r="I165" s="29">
        <v>7</v>
      </c>
      <c r="M165" t="s">
        <v>308</v>
      </c>
      <c r="N165" t="s">
        <v>363</v>
      </c>
      <c r="O165" t="s">
        <v>472</v>
      </c>
      <c r="P165">
        <v>500</v>
      </c>
      <c r="Q165" s="12">
        <v>2.4199999999999999E-2</v>
      </c>
      <c r="R165" s="14">
        <f>(SUM(D165:G165,I165))*Q165</f>
        <v>0.1694</v>
      </c>
      <c r="S165">
        <v>2</v>
      </c>
      <c r="T165">
        <f>+Tableau1[[#This Row],[DELAIS (w)]]*7</f>
        <v>14</v>
      </c>
      <c r="U165"/>
      <c r="Y165" s="9"/>
      <c r="Z165" s="9"/>
      <c r="AD165" s="9" t="str">
        <f>IF(ISBLANK(Tableau1[[#This Row],[date de livraison réappro]]),"",(IF(Tableau1[[#This Row],[date de livraison réappro]]&lt;Tableau1[[#This Row],[date de rupture estimé]],"OK","RUPTURE")))</f>
        <v/>
      </c>
      <c r="AE165" s="16"/>
      <c r="AG165" s="44"/>
      <c r="AM165" s="12"/>
      <c r="AN165" s="12"/>
      <c r="AO165" s="12"/>
      <c r="AP165" s="12"/>
      <c r="AQ165" s="12"/>
      <c r="AR165" s="12"/>
      <c r="AS165" s="12"/>
    </row>
    <row r="166" spans="1:45" hidden="1">
      <c r="A166" s="20" t="s">
        <v>473</v>
      </c>
      <c r="B166" t="s">
        <v>474</v>
      </c>
      <c r="F166" s="29">
        <v>2</v>
      </c>
      <c r="M166" t="s">
        <v>308</v>
      </c>
      <c r="N166" t="s">
        <v>363</v>
      </c>
      <c r="O166" t="s">
        <v>475</v>
      </c>
      <c r="P166">
        <v>100</v>
      </c>
      <c r="Q166" s="12">
        <v>7.9799999999999996E-2</v>
      </c>
      <c r="R166" s="14">
        <f>(SUM(D166:G166,I166))*Q166</f>
        <v>0.15959999999999999</v>
      </c>
      <c r="S166">
        <v>2</v>
      </c>
      <c r="T166">
        <f>+Tableau1[[#This Row],[DELAIS (w)]]*7</f>
        <v>14</v>
      </c>
      <c r="U166"/>
      <c r="Y166" s="9"/>
      <c r="Z166" s="9"/>
      <c r="AD166" s="9" t="str">
        <f>IF(ISBLANK(Tableau1[[#This Row],[date de livraison réappro]]),"",(IF(Tableau1[[#This Row],[date de livraison réappro]]&lt;Tableau1[[#This Row],[date de rupture estimé]],"OK","RUPTURE")))</f>
        <v/>
      </c>
      <c r="AE166" s="16"/>
      <c r="AG166" s="44"/>
      <c r="AM166" s="12"/>
      <c r="AN166" s="12"/>
      <c r="AO166" s="12"/>
      <c r="AP166" s="12"/>
      <c r="AQ166" s="12"/>
      <c r="AR166" s="12"/>
      <c r="AS166" s="12"/>
    </row>
    <row r="167" spans="1:45" hidden="1">
      <c r="A167" s="20" t="s">
        <v>476</v>
      </c>
      <c r="B167" t="s">
        <v>477</v>
      </c>
      <c r="F167" s="29">
        <v>4</v>
      </c>
      <c r="M167" t="s">
        <v>308</v>
      </c>
      <c r="N167" t="s">
        <v>363</v>
      </c>
      <c r="O167" t="s">
        <v>478</v>
      </c>
      <c r="P167">
        <v>200</v>
      </c>
      <c r="Q167" s="12">
        <v>2.81E-2</v>
      </c>
      <c r="R167" s="14">
        <f>(SUM(D167:G167,I167))*Q167</f>
        <v>0.1124</v>
      </c>
      <c r="S167">
        <v>2</v>
      </c>
      <c r="T167">
        <f>+Tableau1[[#This Row],[DELAIS (w)]]*7</f>
        <v>14</v>
      </c>
      <c r="U167"/>
      <c r="Y167" s="9"/>
      <c r="Z167" s="9"/>
      <c r="AD167" s="9" t="str">
        <f>IF(ISBLANK(Tableau1[[#This Row],[date de livraison réappro]]),"",(IF(Tableau1[[#This Row],[date de livraison réappro]]&lt;Tableau1[[#This Row],[date de rupture estimé]],"OK","RUPTURE")))</f>
        <v/>
      </c>
      <c r="AE167" s="16"/>
      <c r="AG167" s="44"/>
      <c r="AM167" s="12"/>
      <c r="AN167" s="12"/>
      <c r="AO167" s="12"/>
      <c r="AP167" s="12"/>
      <c r="AQ167" s="12"/>
      <c r="AR167" s="12"/>
      <c r="AS167" s="12"/>
    </row>
    <row r="168" spans="1:45" hidden="1">
      <c r="A168" s="20" t="s">
        <v>479</v>
      </c>
      <c r="B168" s="21" t="s">
        <v>480</v>
      </c>
      <c r="C168" s="21"/>
      <c r="F168" s="29">
        <v>6</v>
      </c>
      <c r="M168" t="s">
        <v>308</v>
      </c>
      <c r="N168" t="s">
        <v>363</v>
      </c>
      <c r="O168" t="s">
        <v>481</v>
      </c>
      <c r="P168">
        <v>100</v>
      </c>
      <c r="Q168" s="12">
        <v>1.8599999999999998E-2</v>
      </c>
      <c r="R168" s="14">
        <f>(SUM(D168:G168,I168))*Q168</f>
        <v>0.11159999999999999</v>
      </c>
      <c r="S168">
        <v>2</v>
      </c>
      <c r="T168">
        <f>+Tableau1[[#This Row],[DELAIS (w)]]*7</f>
        <v>14</v>
      </c>
      <c r="U168"/>
      <c r="Y168" s="9"/>
      <c r="Z168" s="9"/>
      <c r="AD168" s="9" t="str">
        <f>IF(ISBLANK(Tableau1[[#This Row],[date de livraison réappro]]),"",(IF(Tableau1[[#This Row],[date de livraison réappro]]&lt;Tableau1[[#This Row],[date de rupture estimé]],"OK","RUPTURE")))</f>
        <v/>
      </c>
      <c r="AE168" s="16"/>
      <c r="AG168" s="44"/>
      <c r="AM168" s="12"/>
      <c r="AN168" s="12"/>
      <c r="AO168" s="12"/>
      <c r="AP168" s="12"/>
      <c r="AQ168" s="12"/>
      <c r="AR168" s="12"/>
      <c r="AS168" s="12"/>
    </row>
    <row r="169" spans="1:45" hidden="1">
      <c r="A169" s="20" t="s">
        <v>482</v>
      </c>
      <c r="B169" t="s">
        <v>483</v>
      </c>
      <c r="F169" s="29">
        <v>2</v>
      </c>
      <c r="M169" t="s">
        <v>308</v>
      </c>
      <c r="N169" t="s">
        <v>363</v>
      </c>
      <c r="O169" t="s">
        <v>484</v>
      </c>
      <c r="P169">
        <v>50</v>
      </c>
      <c r="Q169" s="12">
        <v>5.5399999999999998E-2</v>
      </c>
      <c r="R169" s="14">
        <f>(SUM(D169:G169,I169))*Q169</f>
        <v>0.1108</v>
      </c>
      <c r="S169">
        <v>2</v>
      </c>
      <c r="T169">
        <f>+Tableau1[[#This Row],[DELAIS (w)]]*7</f>
        <v>14</v>
      </c>
      <c r="U169"/>
      <c r="Y169" s="9"/>
      <c r="Z169" s="9"/>
      <c r="AD169" s="9" t="str">
        <f>IF(ISBLANK(Tableau1[[#This Row],[date de livraison réappro]]),"",(IF(Tableau1[[#This Row],[date de livraison réappro]]&lt;Tableau1[[#This Row],[date de rupture estimé]],"OK","RUPTURE")))</f>
        <v/>
      </c>
      <c r="AE169" s="16"/>
      <c r="AG169" s="44"/>
      <c r="AM169" s="12"/>
      <c r="AN169" s="12"/>
      <c r="AO169" s="12"/>
      <c r="AP169" s="12"/>
      <c r="AQ169" s="12"/>
      <c r="AR169" s="12"/>
      <c r="AS169" s="12"/>
    </row>
    <row r="170" spans="1:45" hidden="1">
      <c r="A170" s="20" t="s">
        <v>485</v>
      </c>
      <c r="B170" s="21" t="s">
        <v>486</v>
      </c>
      <c r="C170" s="21"/>
      <c r="H170">
        <v>1</v>
      </c>
      <c r="I170" s="29">
        <v>1</v>
      </c>
      <c r="M170" t="s">
        <v>308</v>
      </c>
      <c r="N170" t="s">
        <v>363</v>
      </c>
      <c r="O170" t="s">
        <v>487</v>
      </c>
      <c r="P170">
        <v>200</v>
      </c>
      <c r="Q170" s="12">
        <v>0.1007</v>
      </c>
      <c r="R170" s="14">
        <f>(SUM(D170:G170,I170))*Q170</f>
        <v>0.1007</v>
      </c>
      <c r="S170">
        <v>2</v>
      </c>
      <c r="T170">
        <f>+Tableau1[[#This Row],[DELAIS (w)]]*7</f>
        <v>14</v>
      </c>
      <c r="U170"/>
      <c r="Y170" s="9"/>
      <c r="Z170" s="9"/>
      <c r="AD170" s="9" t="str">
        <f>IF(ISBLANK(Tableau1[[#This Row],[date de livraison réappro]]),"",(IF(Tableau1[[#This Row],[date de livraison réappro]]&lt;Tableau1[[#This Row],[date de rupture estimé]],"OK","RUPTURE")))</f>
        <v/>
      </c>
      <c r="AE170" s="16"/>
      <c r="AG170" s="44"/>
      <c r="AM170" s="12"/>
      <c r="AN170" s="12"/>
      <c r="AO170" s="12"/>
      <c r="AP170" s="12"/>
      <c r="AQ170" s="12"/>
      <c r="AR170" s="12"/>
      <c r="AS170" s="12"/>
    </row>
    <row r="171" spans="1:45" hidden="1">
      <c r="A171" s="20" t="s">
        <v>488</v>
      </c>
      <c r="B171" s="21" t="s">
        <v>489</v>
      </c>
      <c r="C171" s="21"/>
      <c r="D171" s="32"/>
      <c r="E171" s="32"/>
      <c r="F171" s="32"/>
      <c r="G171" s="32"/>
      <c r="H171" s="2">
        <v>4</v>
      </c>
      <c r="I171" s="32">
        <v>4</v>
      </c>
      <c r="J171" s="1"/>
      <c r="K171" s="1"/>
      <c r="L171" s="1"/>
      <c r="M171" t="s">
        <v>308</v>
      </c>
      <c r="N171" t="s">
        <v>363</v>
      </c>
      <c r="O171" t="s">
        <v>490</v>
      </c>
      <c r="P171">
        <v>200</v>
      </c>
      <c r="Q171" s="12">
        <v>2.1100000000000001E-2</v>
      </c>
      <c r="R171" s="14">
        <f>(SUM(D171:G171,I171))*Q171</f>
        <v>8.4400000000000003E-2</v>
      </c>
      <c r="S171">
        <v>2</v>
      </c>
      <c r="T171">
        <f>+Tableau1[[#This Row],[DELAIS (w)]]*7</f>
        <v>14</v>
      </c>
      <c r="U171"/>
      <c r="Y171" s="9"/>
      <c r="Z171" s="9"/>
      <c r="AD171" s="9" t="str">
        <f>IF(ISBLANK(Tableau1[[#This Row],[date de livraison réappro]]),"",(IF(Tableau1[[#This Row],[date de livraison réappro]]&lt;Tableau1[[#This Row],[date de rupture estimé]],"OK","RUPTURE")))</f>
        <v/>
      </c>
      <c r="AE171" s="16"/>
      <c r="AG171" s="44"/>
      <c r="AM171" s="12"/>
      <c r="AN171" s="12"/>
      <c r="AO171" s="12"/>
      <c r="AP171" s="12"/>
      <c r="AQ171" s="12"/>
      <c r="AR171" s="12"/>
      <c r="AS171" s="12"/>
    </row>
    <row r="172" spans="1:45" hidden="1">
      <c r="A172" s="20" t="s">
        <v>491</v>
      </c>
      <c r="B172" t="s">
        <v>492</v>
      </c>
      <c r="D172" s="32">
        <v>2</v>
      </c>
      <c r="E172" s="32"/>
      <c r="F172" s="32"/>
      <c r="G172" s="32"/>
      <c r="H172" s="1"/>
      <c r="I172" s="32"/>
      <c r="J172" s="1"/>
      <c r="K172" s="1"/>
      <c r="L172" s="1"/>
      <c r="M172" s="1" t="s">
        <v>308</v>
      </c>
      <c r="N172" s="1" t="s">
        <v>363</v>
      </c>
      <c r="O172" s="1"/>
      <c r="P172" s="1">
        <v>100</v>
      </c>
      <c r="Q172" s="14">
        <v>3.5400000000000001E-2</v>
      </c>
      <c r="R172" s="14">
        <f>(SUM(D172:G172,I172))*Q172</f>
        <v>7.0800000000000002E-2</v>
      </c>
      <c r="S172" s="1">
        <v>2</v>
      </c>
      <c r="T172">
        <f>+Tableau1[[#This Row],[DELAIS (w)]]*7</f>
        <v>14</v>
      </c>
      <c r="U172"/>
      <c r="Y172" s="9"/>
      <c r="Z172" s="9"/>
      <c r="AD172" s="9" t="str">
        <f>IF(ISBLANK(Tableau1[[#This Row],[date de livraison réappro]]),"",(IF(Tableau1[[#This Row],[date de livraison réappro]]&lt;Tableau1[[#This Row],[date de rupture estimé]],"OK","RUPTURE")))</f>
        <v/>
      </c>
      <c r="AE172" s="16"/>
      <c r="AG172" s="44"/>
      <c r="AM172" s="12"/>
      <c r="AN172" s="12"/>
      <c r="AO172" s="12"/>
      <c r="AP172" s="12"/>
      <c r="AQ172" s="12"/>
      <c r="AR172" s="12"/>
      <c r="AS172" s="12"/>
    </row>
    <row r="173" spans="1:45" hidden="1">
      <c r="A173" s="20" t="s">
        <v>493</v>
      </c>
      <c r="B173" t="s">
        <v>494</v>
      </c>
      <c r="F173" s="29">
        <v>2</v>
      </c>
      <c r="M173" t="s">
        <v>350</v>
      </c>
      <c r="N173" t="s">
        <v>495</v>
      </c>
      <c r="O173" t="s">
        <v>496</v>
      </c>
      <c r="P173">
        <v>1</v>
      </c>
      <c r="Q173" s="12">
        <f>30.8/1000</f>
        <v>3.0800000000000001E-2</v>
      </c>
      <c r="R173" s="14">
        <f>(SUM(D173:G173,I173))*Q173</f>
        <v>6.1600000000000002E-2</v>
      </c>
      <c r="S173">
        <v>1</v>
      </c>
      <c r="T173">
        <f>+Tableau1[[#This Row],[DELAIS (w)]]*7</f>
        <v>7</v>
      </c>
      <c r="U173"/>
      <c r="Y173" s="9"/>
      <c r="Z173" s="9"/>
      <c r="AD173" s="9" t="str">
        <f>IF(ISBLANK(Tableau1[[#This Row],[date de livraison réappro]]),"",(IF(Tableau1[[#This Row],[date de livraison réappro]]&lt;Tableau1[[#This Row],[date de rupture estimé]],"OK","RUPTURE")))</f>
        <v/>
      </c>
      <c r="AE173" s="16"/>
      <c r="AG173" s="44"/>
      <c r="AM173" s="12"/>
      <c r="AN173" s="12"/>
      <c r="AO173" s="12"/>
      <c r="AP173" s="12"/>
      <c r="AQ173" s="12"/>
      <c r="AR173" s="12"/>
      <c r="AS173" s="12"/>
    </row>
    <row r="174" spans="1:45" hidden="1">
      <c r="A174" s="20" t="s">
        <v>497</v>
      </c>
      <c r="B174" s="21" t="s">
        <v>498</v>
      </c>
      <c r="C174" s="21"/>
      <c r="D174" s="32"/>
      <c r="E174" s="32"/>
      <c r="F174" s="32"/>
      <c r="G174" s="32"/>
      <c r="H174" s="2">
        <v>6</v>
      </c>
      <c r="I174" s="32">
        <v>6</v>
      </c>
      <c r="J174" s="1"/>
      <c r="K174" s="1"/>
      <c r="L174" s="1"/>
      <c r="M174" t="s">
        <v>308</v>
      </c>
      <c r="N174" t="s">
        <v>363</v>
      </c>
      <c r="O174" t="s">
        <v>499</v>
      </c>
      <c r="P174">
        <v>200</v>
      </c>
      <c r="Q174" s="12">
        <v>1.01E-2</v>
      </c>
      <c r="R174" s="14">
        <f>(SUM(D174:G174,I174))*Q174</f>
        <v>6.0600000000000001E-2</v>
      </c>
      <c r="S174">
        <v>2</v>
      </c>
      <c r="T174">
        <f>+Tableau1[[#This Row],[DELAIS (w)]]*7</f>
        <v>14</v>
      </c>
      <c r="U174"/>
      <c r="Y174" s="9"/>
      <c r="Z174" s="9"/>
      <c r="AD174" s="9" t="str">
        <f>IF(ISBLANK(Tableau1[[#This Row],[date de livraison réappro]]),"",(IF(Tableau1[[#This Row],[date de livraison réappro]]&lt;Tableau1[[#This Row],[date de rupture estimé]],"OK","RUPTURE")))</f>
        <v/>
      </c>
      <c r="AE174" s="16"/>
      <c r="AG174" s="44"/>
      <c r="AM174" s="12"/>
      <c r="AN174" s="12"/>
      <c r="AO174" s="12"/>
      <c r="AP174" s="12"/>
      <c r="AQ174" s="12"/>
      <c r="AR174" s="12"/>
      <c r="AS174" s="12"/>
    </row>
    <row r="175" spans="1:45" hidden="1">
      <c r="A175" s="20" t="s">
        <v>500</v>
      </c>
      <c r="B175" s="21" t="s">
        <v>501</v>
      </c>
      <c r="C175" s="21"/>
      <c r="D175" s="32"/>
      <c r="E175" s="32"/>
      <c r="F175" s="32"/>
      <c r="G175" s="32"/>
      <c r="H175" s="2">
        <v>2</v>
      </c>
      <c r="I175" s="32">
        <v>2</v>
      </c>
      <c r="J175" s="1"/>
      <c r="K175" s="1"/>
      <c r="L175" s="1"/>
      <c r="M175" t="s">
        <v>308</v>
      </c>
      <c r="N175" t="s">
        <v>363</v>
      </c>
      <c r="O175" t="s">
        <v>502</v>
      </c>
      <c r="P175">
        <v>200</v>
      </c>
      <c r="Q175" s="12">
        <v>2.5899999999999999E-2</v>
      </c>
      <c r="R175" s="14">
        <f>(SUM(D175:G175,I175))*Q175</f>
        <v>5.1799999999999999E-2</v>
      </c>
      <c r="S175">
        <v>2</v>
      </c>
      <c r="T175">
        <f>+Tableau1[[#This Row],[DELAIS (w)]]*7</f>
        <v>14</v>
      </c>
      <c r="U175"/>
      <c r="Y175" s="9"/>
      <c r="Z175" s="9"/>
      <c r="AD175" s="9" t="str">
        <f>IF(ISBLANK(Tableau1[[#This Row],[date de livraison réappro]]),"",(IF(Tableau1[[#This Row],[date de livraison réappro]]&lt;Tableau1[[#This Row],[date de rupture estimé]],"OK","RUPTURE")))</f>
        <v/>
      </c>
      <c r="AE175" s="16"/>
      <c r="AG175" s="44"/>
      <c r="AM175" s="12"/>
      <c r="AN175" s="12"/>
      <c r="AO175" s="12"/>
      <c r="AP175" s="12"/>
      <c r="AQ175" s="12"/>
      <c r="AR175" s="12"/>
      <c r="AS175" s="12"/>
    </row>
    <row r="176" spans="1:45" hidden="1">
      <c r="A176" s="20" t="s">
        <v>503</v>
      </c>
      <c r="B176" s="21" t="s">
        <v>504</v>
      </c>
      <c r="C176" s="21"/>
      <c r="D176" s="32"/>
      <c r="E176" s="32"/>
      <c r="F176" s="32">
        <v>4</v>
      </c>
      <c r="G176" s="32"/>
      <c r="H176" s="2">
        <v>2</v>
      </c>
      <c r="I176" s="32">
        <v>2</v>
      </c>
      <c r="J176" s="1"/>
      <c r="K176" s="1"/>
      <c r="L176" s="1"/>
      <c r="M176" t="s">
        <v>308</v>
      </c>
      <c r="N176" t="s">
        <v>363</v>
      </c>
      <c r="O176" t="s">
        <v>505</v>
      </c>
      <c r="P176">
        <v>200</v>
      </c>
      <c r="Q176" s="12">
        <v>5.0000000000000001E-3</v>
      </c>
      <c r="R176" s="14">
        <f>(SUM(D176:G176,I176))*Q176</f>
        <v>0.03</v>
      </c>
      <c r="S176">
        <v>2</v>
      </c>
      <c r="T176">
        <f>+Tableau1[[#This Row],[DELAIS (w)]]*7</f>
        <v>14</v>
      </c>
      <c r="U176"/>
      <c r="Y176" s="9"/>
      <c r="Z176" s="9"/>
      <c r="AD176" s="9" t="str">
        <f>IF(ISBLANK(Tableau1[[#This Row],[date de livraison réappro]]),"",(IF(Tableau1[[#This Row],[date de livraison réappro]]&lt;Tableau1[[#This Row],[date de rupture estimé]],"OK","RUPTURE")))</f>
        <v/>
      </c>
      <c r="AE176" s="16"/>
      <c r="AG176" s="44"/>
      <c r="AM176" s="12"/>
      <c r="AN176" s="12"/>
      <c r="AO176" s="12"/>
      <c r="AP176" s="12"/>
      <c r="AQ176" s="12"/>
      <c r="AR176" s="12"/>
      <c r="AS176" s="12"/>
    </row>
    <row r="177" spans="1:45" hidden="1">
      <c r="A177" s="20" t="s">
        <v>506</v>
      </c>
      <c r="B177" s="21" t="s">
        <v>507</v>
      </c>
      <c r="C177" s="21"/>
      <c r="D177" s="32"/>
      <c r="E177" s="32"/>
      <c r="F177" s="32"/>
      <c r="G177" s="32"/>
      <c r="H177" s="2">
        <v>4</v>
      </c>
      <c r="I177" s="32">
        <v>4</v>
      </c>
      <c r="J177" s="1"/>
      <c r="K177" s="1"/>
      <c r="L177" s="1"/>
      <c r="M177" t="s">
        <v>308</v>
      </c>
      <c r="N177" t="s">
        <v>363</v>
      </c>
      <c r="O177" t="s">
        <v>508</v>
      </c>
      <c r="P177">
        <v>200</v>
      </c>
      <c r="Q177" s="12">
        <v>7.1000000000000004E-3</v>
      </c>
      <c r="R177" s="14">
        <f>(SUM(D177:G177,I177))*Q177</f>
        <v>2.8400000000000002E-2</v>
      </c>
      <c r="S177">
        <v>2</v>
      </c>
      <c r="T177">
        <f>+Tableau1[[#This Row],[DELAIS (w)]]*7</f>
        <v>14</v>
      </c>
      <c r="U177"/>
      <c r="Y177" s="9"/>
      <c r="Z177" s="9"/>
      <c r="AD177" s="9" t="str">
        <f>IF(ISBLANK(Tableau1[[#This Row],[date de livraison réappro]]),"",(IF(Tableau1[[#This Row],[date de livraison réappro]]&lt;Tableau1[[#This Row],[date de rupture estimé]],"OK","RUPTURE")))</f>
        <v/>
      </c>
      <c r="AE177" s="16"/>
      <c r="AG177" s="44"/>
      <c r="AM177" s="12"/>
      <c r="AN177" s="12"/>
      <c r="AO177" s="12"/>
      <c r="AP177" s="12"/>
      <c r="AQ177" s="12"/>
      <c r="AR177" s="12"/>
      <c r="AS177" s="12"/>
    </row>
    <row r="178" spans="1:45" hidden="1">
      <c r="A178" s="20" t="s">
        <v>509</v>
      </c>
      <c r="B178" t="s">
        <v>510</v>
      </c>
      <c r="D178" s="32"/>
      <c r="E178" s="29">
        <v>2</v>
      </c>
      <c r="F178" s="32"/>
      <c r="G178" s="32"/>
      <c r="H178" s="1"/>
      <c r="I178" s="32"/>
      <c r="J178" s="1"/>
      <c r="K178" s="1"/>
      <c r="L178" s="1"/>
      <c r="M178" t="s">
        <v>308</v>
      </c>
      <c r="N178" t="s">
        <v>363</v>
      </c>
      <c r="O178" t="s">
        <v>511</v>
      </c>
      <c r="P178">
        <v>200</v>
      </c>
      <c r="Q178" s="12">
        <v>1.06E-2</v>
      </c>
      <c r="R178" s="14">
        <f>(SUM(D178:G178,I178))*Q178</f>
        <v>2.12E-2</v>
      </c>
      <c r="S178">
        <v>2</v>
      </c>
      <c r="T178">
        <f>+Tableau1[[#This Row],[DELAIS (w)]]*7</f>
        <v>14</v>
      </c>
      <c r="U178"/>
      <c r="Y178" s="9"/>
      <c r="Z178" s="9"/>
      <c r="AD178" s="9" t="str">
        <f>IF(ISBLANK(Tableau1[[#This Row],[date de livraison réappro]]),"",(IF(Tableau1[[#This Row],[date de livraison réappro]]&lt;Tableau1[[#This Row],[date de rupture estimé]],"OK","RUPTURE")))</f>
        <v/>
      </c>
      <c r="AE178" s="16"/>
      <c r="AG178" s="44"/>
      <c r="AM178" s="12"/>
      <c r="AN178" s="12"/>
      <c r="AO178" s="12"/>
      <c r="AP178" s="12"/>
      <c r="AQ178" s="12"/>
      <c r="AR178" s="12"/>
      <c r="AS178" s="12"/>
    </row>
    <row r="179" spans="1:45" hidden="1">
      <c r="A179" s="20" t="s">
        <v>512</v>
      </c>
      <c r="B179" s="21" t="s">
        <v>513</v>
      </c>
      <c r="C179" s="21"/>
      <c r="D179" s="32"/>
      <c r="E179" s="32"/>
      <c r="F179" s="32"/>
      <c r="G179" s="32"/>
      <c r="H179" s="2">
        <v>4</v>
      </c>
      <c r="I179" s="32">
        <v>4</v>
      </c>
      <c r="J179" s="1"/>
      <c r="K179" s="1"/>
      <c r="L179" s="1"/>
      <c r="M179" t="s">
        <v>308</v>
      </c>
      <c r="N179" t="s">
        <v>363</v>
      </c>
      <c r="O179" t="s">
        <v>514</v>
      </c>
      <c r="P179">
        <v>200</v>
      </c>
      <c r="Q179" s="12">
        <v>4.4999999999999997E-3</v>
      </c>
      <c r="R179" s="14">
        <f>(SUM(D179:G179,I179))*Q179</f>
        <v>1.7999999999999999E-2</v>
      </c>
      <c r="S179">
        <v>2</v>
      </c>
      <c r="T179">
        <f>+Tableau1[[#This Row],[DELAIS (w)]]*7</f>
        <v>14</v>
      </c>
      <c r="U179"/>
      <c r="Y179" s="9"/>
      <c r="Z179" s="9"/>
      <c r="AD179" s="9" t="str">
        <f>IF(ISBLANK(Tableau1[[#This Row],[date de livraison réappro]]),"",(IF(Tableau1[[#This Row],[date de livraison réappro]]&lt;Tableau1[[#This Row],[date de rupture estimé]],"OK","RUPTURE")))</f>
        <v/>
      </c>
      <c r="AE179" s="16"/>
      <c r="AG179" s="44"/>
      <c r="AM179" s="12"/>
      <c r="AN179" s="12"/>
      <c r="AO179" s="12"/>
      <c r="AP179" s="12"/>
      <c r="AQ179" s="12"/>
      <c r="AR179" s="12"/>
      <c r="AS179" s="12"/>
    </row>
    <row r="180" spans="1:45" hidden="1">
      <c r="A180" s="20" t="s">
        <v>515</v>
      </c>
      <c r="B180" s="1" t="s">
        <v>516</v>
      </c>
      <c r="C180" s="1" t="s">
        <v>517</v>
      </c>
      <c r="D180" s="32"/>
      <c r="E180" s="32"/>
      <c r="F180" s="32"/>
      <c r="G180" s="32"/>
      <c r="H180" s="1"/>
      <c r="I180" s="32"/>
      <c r="J180" s="1"/>
      <c r="K180" s="1">
        <v>1</v>
      </c>
      <c r="L180" s="1"/>
      <c r="M180" s="1" t="s">
        <v>188</v>
      </c>
      <c r="N180" s="1" t="s">
        <v>107</v>
      </c>
      <c r="O180" s="1"/>
      <c r="P180" s="1">
        <v>30</v>
      </c>
      <c r="Q180" s="14">
        <f>437.05+(475/30)</f>
        <v>452.88333333333333</v>
      </c>
      <c r="R180" s="14">
        <f>(SUM(D180:G180,I180))*Q180</f>
        <v>0</v>
      </c>
      <c r="S180" s="1">
        <v>12</v>
      </c>
      <c r="T180">
        <f>+Tableau1[[#This Row],[DELAIS (w)]]*7</f>
        <v>84</v>
      </c>
      <c r="U180">
        <v>42</v>
      </c>
      <c r="V180">
        <v>42</v>
      </c>
      <c r="W180">
        <f>(Tableau1[[#This Row],[DELAIS (w)]]+2)*(2.5*SUM(Tableau1[[#This Row],[086401 - Train mobile équipé pour DIPRO 3x]:[086885 - Ensemble Codeur - DIPRO 3x]]))</f>
        <v>35</v>
      </c>
      <c r="X180">
        <f>+Tableau1[[#This Row],[STOCK disponible]]/(SUM(Tableau1[[#This Row],[086401 - Train mobile équipé pour DIPRO 3x]:[086885 - Ensemble Codeur - DIPRO 3x]])*2.5)</f>
        <v>16.8</v>
      </c>
      <c r="Y180" s="9">
        <f ca="1">TODAY()+(Tableau1[[#This Row],[COUVERTURE W (capa 2,5M/S)]]*7)</f>
        <v>46336.6</v>
      </c>
      <c r="Z180" s="9" t="str">
        <f>IF(Tableau1[[#This Row],[STOCK disponible]]&lt;Tableau1[[#This Row],[SEUIL]],"A COMMANDER","")</f>
        <v/>
      </c>
      <c r="AD180" s="9" t="str">
        <f>IF(ISBLANK(Tableau1[[#This Row],[date de livraison réappro]]),"",(IF(Tableau1[[#This Row],[date de livraison réappro]]&lt;Tableau1[[#This Row],[date de rupture estimé]],"OK","RUPTURE")))</f>
        <v/>
      </c>
      <c r="AE180" s="17">
        <v>58</v>
      </c>
      <c r="AF180" t="s">
        <v>518</v>
      </c>
      <c r="AG180" s="44"/>
      <c r="AH180" t="s">
        <v>519</v>
      </c>
      <c r="AI180" t="s">
        <v>519</v>
      </c>
      <c r="AM180" s="12"/>
      <c r="AN180" s="12"/>
      <c r="AO180" s="12"/>
      <c r="AP180" s="12"/>
      <c r="AQ180" s="12"/>
      <c r="AR180" s="12"/>
      <c r="AS180" s="12"/>
    </row>
    <row r="181" spans="1:45" hidden="1">
      <c r="A181" s="20" t="s">
        <v>520</v>
      </c>
      <c r="B181" s="1" t="s">
        <v>521</v>
      </c>
      <c r="C181" s="1" t="s">
        <v>522</v>
      </c>
      <c r="D181" s="32"/>
      <c r="E181" s="32"/>
      <c r="F181" s="32"/>
      <c r="G181" s="32"/>
      <c r="H181" s="1"/>
      <c r="I181" s="32"/>
      <c r="J181" s="1">
        <v>1</v>
      </c>
      <c r="K181" s="1"/>
      <c r="L181" s="1"/>
      <c r="M181" s="1" t="s">
        <v>188</v>
      </c>
      <c r="N181" s="1" t="s">
        <v>107</v>
      </c>
      <c r="O181" s="1"/>
      <c r="P181" s="1">
        <v>30</v>
      </c>
      <c r="Q181" s="14">
        <f>(271.55+3.55)+(645/30)</f>
        <v>296.60000000000002</v>
      </c>
      <c r="R181" s="14">
        <f>(SUM(D181:G181,I181))*Q181</f>
        <v>0</v>
      </c>
      <c r="S181" s="1">
        <v>12</v>
      </c>
      <c r="T181">
        <f>+Tableau1[[#This Row],[DELAIS (w)]]*7</f>
        <v>84</v>
      </c>
      <c r="U181">
        <v>41</v>
      </c>
      <c r="V181">
        <v>41</v>
      </c>
      <c r="W181">
        <f>(Tableau1[[#This Row],[DELAIS (w)]]+2)*(2.5*SUM(Tableau1[[#This Row],[086401 - Train mobile équipé pour DIPRO 3x]:[086885 - Ensemble Codeur - DIPRO 3x]]))</f>
        <v>35</v>
      </c>
      <c r="X181">
        <f>+Tableau1[[#This Row],[STOCK disponible]]/(SUM(Tableau1[[#This Row],[086401 - Train mobile équipé pour DIPRO 3x]:[086885 - Ensemble Codeur - DIPRO 3x]])*2.5)</f>
        <v>16.399999999999999</v>
      </c>
      <c r="Y181" s="9">
        <f ca="1">TODAY()+(Tableau1[[#This Row],[COUVERTURE W (capa 2,5M/S)]]*7)</f>
        <v>46333.8</v>
      </c>
      <c r="Z181" s="9" t="str">
        <f>IF(Tableau1[[#This Row],[STOCK disponible]]&lt;Tableau1[[#This Row],[SEUIL]],"A COMMANDER","")</f>
        <v/>
      </c>
      <c r="AD181" s="9" t="str">
        <f>IF(ISBLANK(Tableau1[[#This Row],[date de livraison réappro]]),"",(IF(Tableau1[[#This Row],[date de livraison réappro]]&lt;Tableau1[[#This Row],[date de rupture estimé]],"OK","RUPTURE")))</f>
        <v/>
      </c>
      <c r="AE181" s="17">
        <v>45</v>
      </c>
      <c r="AG181" s="44"/>
      <c r="AH181" t="s">
        <v>519</v>
      </c>
      <c r="AI181" t="s">
        <v>519</v>
      </c>
      <c r="AM181" s="12"/>
      <c r="AN181" s="12"/>
      <c r="AO181" s="12"/>
      <c r="AP181" s="12"/>
      <c r="AQ181" s="12"/>
      <c r="AR181" s="12"/>
      <c r="AS181" s="12"/>
    </row>
    <row r="182" spans="1:45" hidden="1">
      <c r="A182" s="20">
        <v>100100</v>
      </c>
      <c r="B182" s="1" t="s">
        <v>523</v>
      </c>
      <c r="C182" s="1" t="s">
        <v>52</v>
      </c>
      <c r="D182" s="32"/>
      <c r="E182" s="32"/>
      <c r="F182" s="32"/>
      <c r="G182" s="32"/>
      <c r="H182" s="1">
        <v>1</v>
      </c>
      <c r="I182" s="32"/>
      <c r="J182" s="1"/>
      <c r="K182" s="1"/>
      <c r="L182" s="1"/>
      <c r="M182" s="1" t="s">
        <v>86</v>
      </c>
      <c r="N182" s="1" t="s">
        <v>87</v>
      </c>
      <c r="O182" s="1" t="s">
        <v>524</v>
      </c>
      <c r="P182" s="1">
        <v>5</v>
      </c>
      <c r="Q182" s="14">
        <v>290</v>
      </c>
      <c r="R182" s="14">
        <f>(SUM(D182:G182,I182))*Q182</f>
        <v>0</v>
      </c>
      <c r="S182" s="1">
        <v>24</v>
      </c>
      <c r="T182">
        <f>+Tableau1[[#This Row],[DELAIS (w)]]*7</f>
        <v>168</v>
      </c>
      <c r="U182">
        <v>33</v>
      </c>
      <c r="V182">
        <v>33</v>
      </c>
      <c r="W182">
        <f>(Tableau1[[#This Row],[DELAIS (w)]]+2)*(2.5*SUM(Tableau1[[#This Row],[086401 - Train mobile équipé pour DIPRO 3x]:[086885 - Ensemble Codeur - DIPRO 3x]]))</f>
        <v>65</v>
      </c>
      <c r="X182">
        <f>+Tableau1[[#This Row],[STOCK disponible]]/(SUM(Tableau1[[#This Row],[086401 - Train mobile équipé pour DIPRO 3x]:[086885 - Ensemble Codeur - DIPRO 3x]])*2.5)</f>
        <v>13.2</v>
      </c>
      <c r="Y182" s="9">
        <f ca="1">TODAY()+(Tableau1[[#This Row],[COUVERTURE W (capa 2,5M/S)]]*7)</f>
        <v>46311.4</v>
      </c>
      <c r="Z182" s="9" t="str">
        <f>IF(Tableau1[[#This Row],[STOCK disponible]]&lt;Tableau1[[#This Row],[SEUIL]],"A COMMANDER","")</f>
        <v>A COMMANDER</v>
      </c>
      <c r="AD182" s="9" t="str">
        <f>IF(ISBLANK(Tableau1[[#This Row],[date de livraison réappro]]),"",(IF(Tableau1[[#This Row],[date de livraison réappro]]&lt;Tableau1[[#This Row],[date de rupture estimé]],"OK","RUPTURE")))</f>
        <v/>
      </c>
      <c r="AE182" s="19">
        <v>34</v>
      </c>
      <c r="AF182" t="s">
        <v>525</v>
      </c>
      <c r="AG182" s="44"/>
      <c r="AH182" t="s">
        <v>519</v>
      </c>
      <c r="AI182" t="s">
        <v>519</v>
      </c>
      <c r="AM182" s="12"/>
      <c r="AN182" s="12"/>
      <c r="AO182" s="12"/>
      <c r="AP182" s="12"/>
      <c r="AQ182" s="12"/>
      <c r="AR182" s="12"/>
      <c r="AS182" s="12"/>
    </row>
    <row r="183" spans="1:45" hidden="1">
      <c r="A183" s="20" t="s">
        <v>526</v>
      </c>
      <c r="B183" s="1" t="s">
        <v>527</v>
      </c>
      <c r="C183" s="1" t="s">
        <v>528</v>
      </c>
      <c r="D183" s="32"/>
      <c r="E183" s="32"/>
      <c r="F183" s="32"/>
      <c r="G183" s="32"/>
      <c r="H183" s="1"/>
      <c r="I183" s="32"/>
      <c r="J183" s="1"/>
      <c r="K183" s="1"/>
      <c r="L183" s="1">
        <v>1</v>
      </c>
      <c r="M183" s="1" t="s">
        <v>133</v>
      </c>
      <c r="N183" s="1" t="s">
        <v>529</v>
      </c>
      <c r="O183" s="1" t="s">
        <v>530</v>
      </c>
      <c r="P183" s="1">
        <v>30</v>
      </c>
      <c r="Q183" s="14">
        <v>63.72</v>
      </c>
      <c r="R183" s="14">
        <f>(SUM(D183:G183,I183))*Q183</f>
        <v>0</v>
      </c>
      <c r="S183" s="1">
        <v>7</v>
      </c>
      <c r="T183">
        <f>+Tableau1[[#This Row],[DELAIS (w)]]*7</f>
        <v>49</v>
      </c>
      <c r="U183">
        <v>60</v>
      </c>
      <c r="V183">
        <v>60</v>
      </c>
      <c r="W183">
        <f>(Tableau1[[#This Row],[DELAIS (w)]]+2)*(2.5*SUM(Tableau1[[#This Row],[086401 - Train mobile équipé pour DIPRO 3x]:[086885 - Ensemble Codeur - DIPRO 3x]]))</f>
        <v>22.5</v>
      </c>
      <c r="X183">
        <f>+Tableau1[[#This Row],[STOCK disponible]]/(SUM(Tableau1[[#This Row],[086401 - Train mobile équipé pour DIPRO 3x]:[086885 - Ensemble Codeur - DIPRO 3x]])*2.5)</f>
        <v>24</v>
      </c>
      <c r="Y183" s="9">
        <f ca="1">TODAY()+(Tableau1[[#This Row],[COUVERTURE W (capa 2,5M/S)]]*7)</f>
        <v>46387</v>
      </c>
      <c r="Z183" s="9" t="str">
        <f>IF(Tableau1[[#This Row],[STOCK disponible]]&lt;Tableau1[[#This Row],[SEUIL]],"A COMMANDER","")</f>
        <v/>
      </c>
      <c r="AD183" s="9" t="str">
        <f>IF(ISBLANK(Tableau1[[#This Row],[date de livraison réappro]]),"",(IF(Tableau1[[#This Row],[date de livraison réappro]]&lt;Tableau1[[#This Row],[date de rupture estimé]],"OK","RUPTURE")))</f>
        <v/>
      </c>
      <c r="AE183" s="17">
        <v>90</v>
      </c>
      <c r="AG183" s="44"/>
      <c r="AI183" t="s">
        <v>531</v>
      </c>
      <c r="AM183" s="12"/>
      <c r="AN183" s="12"/>
      <c r="AO183" s="12"/>
      <c r="AP183" s="12"/>
      <c r="AQ183" s="12"/>
      <c r="AR183" s="12"/>
      <c r="AS183" s="12"/>
    </row>
    <row r="184" spans="1:45" hidden="1">
      <c r="A184" s="20" t="s">
        <v>532</v>
      </c>
      <c r="B184" s="20" t="s">
        <v>533</v>
      </c>
      <c r="C184" s="20" t="s">
        <v>528</v>
      </c>
      <c r="D184" s="32"/>
      <c r="E184" s="32"/>
      <c r="F184" s="32"/>
      <c r="G184" s="32"/>
      <c r="H184" s="1"/>
      <c r="I184" s="32"/>
      <c r="J184" s="1"/>
      <c r="K184" s="1"/>
      <c r="L184" s="1">
        <v>1</v>
      </c>
      <c r="M184" s="1" t="s">
        <v>534</v>
      </c>
      <c r="N184" s="1" t="s">
        <v>54</v>
      </c>
      <c r="O184" s="1"/>
      <c r="P184" s="1">
        <v>30</v>
      </c>
      <c r="Q184" s="24">
        <v>41.03</v>
      </c>
      <c r="R184" s="14">
        <f>(SUM(D184:G184,I184))*Q184</f>
        <v>0</v>
      </c>
      <c r="S184" s="1">
        <v>2</v>
      </c>
      <c r="T184">
        <f>+Tableau1[[#This Row],[DELAIS (w)]]*7</f>
        <v>14</v>
      </c>
      <c r="U184">
        <v>30</v>
      </c>
      <c r="V184">
        <v>30</v>
      </c>
      <c r="W184">
        <f>(Tableau1[[#This Row],[DELAIS (w)]]+2)*(2.5*SUM(Tableau1[[#This Row],[086401 - Train mobile équipé pour DIPRO 3x]:[086885 - Ensemble Codeur - DIPRO 3x]]))</f>
        <v>10</v>
      </c>
      <c r="X184">
        <f>+Tableau1[[#This Row],[STOCK disponible]]/(SUM(Tableau1[[#This Row],[086401 - Train mobile équipé pour DIPRO 3x]:[086885 - Ensemble Codeur - DIPRO 3x]])*2.5)</f>
        <v>12</v>
      </c>
      <c r="Y184" s="9">
        <f ca="1">TODAY()+(Tableau1[[#This Row],[COUVERTURE W (capa 2,5M/S)]]*7)</f>
        <v>46303</v>
      </c>
      <c r="Z184" s="9" t="str">
        <f>IF(Tableau1[[#This Row],[STOCK disponible]]&lt;Tableau1[[#This Row],[SEUIL]],"A COMMANDER","")</f>
        <v/>
      </c>
      <c r="AD184" s="9" t="str">
        <f>IF(ISBLANK(Tableau1[[#This Row],[date de livraison réappro]]),"",(IF(Tableau1[[#This Row],[date de livraison réappro]]&lt;Tableau1[[#This Row],[date de rupture estimé]],"OK","RUPTURE")))</f>
        <v/>
      </c>
      <c r="AE184" s="17">
        <v>0</v>
      </c>
      <c r="AG184" s="44"/>
      <c r="AH184" t="s">
        <v>519</v>
      </c>
      <c r="AI184" t="s">
        <v>519</v>
      </c>
      <c r="AM184" s="12"/>
      <c r="AN184" s="12"/>
      <c r="AO184" s="12"/>
      <c r="AP184" s="12"/>
      <c r="AQ184" s="12"/>
      <c r="AR184" s="12"/>
      <c r="AS184" s="12"/>
    </row>
    <row r="185" spans="1:45" hidden="1">
      <c r="A185" s="20" t="s">
        <v>535</v>
      </c>
      <c r="B185" s="1" t="s">
        <v>536</v>
      </c>
      <c r="C185" s="1" t="s">
        <v>528</v>
      </c>
      <c r="D185" s="32"/>
      <c r="E185" s="32"/>
      <c r="F185" s="32"/>
      <c r="G185" s="32"/>
      <c r="H185" s="1"/>
      <c r="I185" s="32"/>
      <c r="J185" s="1"/>
      <c r="K185" s="1"/>
      <c r="L185" s="1">
        <v>1</v>
      </c>
      <c r="M185" s="1" t="s">
        <v>133</v>
      </c>
      <c r="N185" s="1" t="s">
        <v>529</v>
      </c>
      <c r="O185" s="1" t="s">
        <v>537</v>
      </c>
      <c r="P185" s="1">
        <v>30</v>
      </c>
      <c r="Q185" s="14">
        <v>27.04</v>
      </c>
      <c r="R185" s="14">
        <f>(SUM(D185:G185,I185))*Q185</f>
        <v>0</v>
      </c>
      <c r="S185" s="1">
        <v>6</v>
      </c>
      <c r="T185">
        <f>+Tableau1[[#This Row],[DELAIS (w)]]*7</f>
        <v>42</v>
      </c>
      <c r="U185">
        <v>90</v>
      </c>
      <c r="V185">
        <v>90</v>
      </c>
      <c r="W185">
        <f>(Tableau1[[#This Row],[DELAIS (w)]]+2)*(2.5*SUM(Tableau1[[#This Row],[086401 - Train mobile équipé pour DIPRO 3x]:[086885 - Ensemble Codeur - DIPRO 3x]]))</f>
        <v>20</v>
      </c>
      <c r="X185">
        <f>+Tableau1[[#This Row],[STOCK disponible]]/(SUM(Tableau1[[#This Row],[086401 - Train mobile équipé pour DIPRO 3x]:[086885 - Ensemble Codeur - DIPRO 3x]])*2.5)</f>
        <v>36</v>
      </c>
      <c r="Y185" s="9">
        <f ca="1">TODAY()+(Tableau1[[#This Row],[COUVERTURE W (capa 2,5M/S)]]*7)</f>
        <v>46471</v>
      </c>
      <c r="Z185" s="9" t="str">
        <f>IF(Tableau1[[#This Row],[STOCK disponible]]&lt;Tableau1[[#This Row],[SEUIL]],"A COMMANDER","")</f>
        <v/>
      </c>
      <c r="AD185" s="9" t="str">
        <f>IF(ISBLANK(Tableau1[[#This Row],[date de livraison réappro]]),"",(IF(Tableau1[[#This Row],[date de livraison réappro]]&lt;Tableau1[[#This Row],[date de rupture estimé]],"OK","RUPTURE")))</f>
        <v/>
      </c>
      <c r="AE185" s="17">
        <v>90</v>
      </c>
      <c r="AG185" s="44"/>
      <c r="AM185" s="12"/>
      <c r="AN185" s="12"/>
      <c r="AO185" s="12"/>
      <c r="AP185" s="12"/>
      <c r="AQ185" s="12"/>
      <c r="AR185" s="12"/>
      <c r="AS185" s="12"/>
    </row>
    <row r="186" spans="1:45" hidden="1">
      <c r="A186" s="20" t="s">
        <v>538</v>
      </c>
      <c r="B186" s="1" t="s">
        <v>539</v>
      </c>
      <c r="C186" s="1" t="s">
        <v>528</v>
      </c>
      <c r="D186" s="32"/>
      <c r="E186" s="32"/>
      <c r="F186" s="32"/>
      <c r="G186" s="32"/>
      <c r="H186" s="1"/>
      <c r="I186" s="32"/>
      <c r="J186" s="1"/>
      <c r="K186" s="1"/>
      <c r="L186" s="1">
        <v>1</v>
      </c>
      <c r="M186" s="1" t="s">
        <v>142</v>
      </c>
      <c r="N186" s="1" t="s">
        <v>540</v>
      </c>
      <c r="O186" s="1"/>
      <c r="P186" s="1">
        <v>60</v>
      </c>
      <c r="Q186" s="14">
        <v>16.09</v>
      </c>
      <c r="R186" s="14">
        <f>(SUM(D186:G186,I186))*Q186</f>
        <v>0</v>
      </c>
      <c r="S186" s="1">
        <v>5</v>
      </c>
      <c r="T186">
        <f>+Tableau1[[#This Row],[DELAIS (w)]]*7</f>
        <v>35</v>
      </c>
      <c r="U186">
        <v>30</v>
      </c>
      <c r="V186">
        <v>30</v>
      </c>
      <c r="W186">
        <f>(Tableau1[[#This Row],[DELAIS (w)]]+2)*(2.5*SUM(Tableau1[[#This Row],[086401 - Train mobile équipé pour DIPRO 3x]:[086885 - Ensemble Codeur - DIPRO 3x]]))</f>
        <v>17.5</v>
      </c>
      <c r="X186">
        <f>+Tableau1[[#This Row],[STOCK disponible]]/(SUM(Tableau1[[#This Row],[086401 - Train mobile équipé pour DIPRO 3x]:[086885 - Ensemble Codeur - DIPRO 3x]])*2.5)</f>
        <v>12</v>
      </c>
      <c r="Y186" s="9">
        <f ca="1">TODAY()+(Tableau1[[#This Row],[COUVERTURE W (capa 2,5M/S)]]*7)</f>
        <v>46303</v>
      </c>
      <c r="Z186" s="9" t="str">
        <f>IF(Tableau1[[#This Row],[STOCK disponible]]&lt;Tableau1[[#This Row],[SEUIL]],"A COMMANDER","")</f>
        <v/>
      </c>
      <c r="AD186" s="9" t="str">
        <f>IF(ISBLANK(Tableau1[[#This Row],[date de livraison réappro]]),"",(IF(Tableau1[[#This Row],[date de livraison réappro]]&lt;Tableau1[[#This Row],[date de rupture estimé]],"OK","RUPTURE")))</f>
        <v/>
      </c>
      <c r="AE186" s="17">
        <v>30</v>
      </c>
      <c r="AG186" s="44"/>
      <c r="AM186" s="12"/>
      <c r="AN186" s="12"/>
      <c r="AO186" s="12"/>
      <c r="AP186" s="12"/>
      <c r="AQ186" s="12"/>
      <c r="AR186" s="12"/>
      <c r="AS186" s="12"/>
    </row>
    <row r="187" spans="1:45" hidden="1">
      <c r="A187" s="20" t="s">
        <v>541</v>
      </c>
      <c r="B187" s="1" t="s">
        <v>542</v>
      </c>
      <c r="C187" s="1" t="s">
        <v>528</v>
      </c>
      <c r="D187" s="32"/>
      <c r="E187" s="32"/>
      <c r="F187" s="32"/>
      <c r="G187" s="32"/>
      <c r="H187" s="1"/>
      <c r="I187" s="32"/>
      <c r="J187" s="1"/>
      <c r="K187" s="1"/>
      <c r="L187" s="1">
        <v>1</v>
      </c>
      <c r="M187" s="1" t="s">
        <v>543</v>
      </c>
      <c r="N187" s="1" t="s">
        <v>61</v>
      </c>
      <c r="O187" s="1"/>
      <c r="P187" s="1">
        <v>60</v>
      </c>
      <c r="Q187" s="14">
        <v>13</v>
      </c>
      <c r="R187" s="14">
        <f>(SUM(D187:G187,I187))*Q187</f>
        <v>0</v>
      </c>
      <c r="S187" s="1">
        <v>5</v>
      </c>
      <c r="T187">
        <f>+Tableau1[[#This Row],[DELAIS (w)]]*7</f>
        <v>35</v>
      </c>
      <c r="U187">
        <v>30</v>
      </c>
      <c r="V187">
        <v>30</v>
      </c>
      <c r="W187">
        <f>(Tableau1[[#This Row],[DELAIS (w)]]+2)*(2.5*SUM(Tableau1[[#This Row],[086401 - Train mobile équipé pour DIPRO 3x]:[086885 - Ensemble Codeur - DIPRO 3x]]))</f>
        <v>17.5</v>
      </c>
      <c r="X187">
        <f>+Tableau1[[#This Row],[STOCK disponible]]/(SUM(Tableau1[[#This Row],[086401 - Train mobile équipé pour DIPRO 3x]:[086885 - Ensemble Codeur - DIPRO 3x]])*2.5)</f>
        <v>12</v>
      </c>
      <c r="Y187" s="9">
        <f ca="1">TODAY()+(Tableau1[[#This Row],[COUVERTURE W (capa 2,5M/S)]]*7)</f>
        <v>46303</v>
      </c>
      <c r="Z187" s="9" t="str">
        <f>IF(Tableau1[[#This Row],[STOCK disponible]]&lt;Tableau1[[#This Row],[SEUIL]],"A COMMANDER","")</f>
        <v/>
      </c>
      <c r="AD187" s="9" t="str">
        <f>IF(ISBLANK(Tableau1[[#This Row],[date de livraison réappro]]),"",(IF(Tableau1[[#This Row],[date de livraison réappro]]&lt;Tableau1[[#This Row],[date de rupture estimé]],"OK","RUPTURE")))</f>
        <v/>
      </c>
      <c r="AE187" s="16"/>
      <c r="AG187" s="44"/>
      <c r="AM187" s="12"/>
      <c r="AN187" s="12"/>
      <c r="AO187" s="12"/>
      <c r="AP187" s="12"/>
      <c r="AQ187" s="12"/>
      <c r="AR187" s="12"/>
      <c r="AS187" s="12"/>
    </row>
    <row r="188" spans="1:45" hidden="1">
      <c r="A188" s="20" t="s">
        <v>544</v>
      </c>
      <c r="B188" s="1" t="s">
        <v>545</v>
      </c>
      <c r="C188" s="1" t="s">
        <v>528</v>
      </c>
      <c r="D188" s="32"/>
      <c r="E188" s="32"/>
      <c r="F188" s="32"/>
      <c r="G188" s="32"/>
      <c r="H188" s="1"/>
      <c r="I188" s="32"/>
      <c r="J188" s="1"/>
      <c r="K188" s="1"/>
      <c r="L188" s="1">
        <v>1</v>
      </c>
      <c r="M188" s="1" t="s">
        <v>133</v>
      </c>
      <c r="N188" s="1" t="s">
        <v>134</v>
      </c>
      <c r="O188" s="1" t="s">
        <v>546</v>
      </c>
      <c r="P188" s="1"/>
      <c r="Q188" s="14">
        <v>7.37</v>
      </c>
      <c r="R188" s="14">
        <f>(SUM(D188:G188,I188))*Q188</f>
        <v>0</v>
      </c>
      <c r="S188" s="1">
        <v>2</v>
      </c>
      <c r="T188">
        <f>+Tableau1[[#This Row],[DELAIS (w)]]*7</f>
        <v>14</v>
      </c>
      <c r="U188">
        <v>40</v>
      </c>
      <c r="V188">
        <v>40</v>
      </c>
      <c r="W188">
        <f>(Tableau1[[#This Row],[DELAIS (w)]]+2)*(2.5*SUM(Tableau1[[#This Row],[086401 - Train mobile équipé pour DIPRO 3x]:[086885 - Ensemble Codeur - DIPRO 3x]]))</f>
        <v>10</v>
      </c>
      <c r="X188">
        <f>+Tableau1[[#This Row],[STOCK disponible]]/(SUM(Tableau1[[#This Row],[086401 - Train mobile équipé pour DIPRO 3x]:[086885 - Ensemble Codeur - DIPRO 3x]])*2.5)</f>
        <v>16</v>
      </c>
      <c r="Y188" s="9">
        <f ca="1">TODAY()+(Tableau1[[#This Row],[COUVERTURE W (capa 2,5M/S)]]*7)</f>
        <v>46331</v>
      </c>
      <c r="Z188" s="9" t="str">
        <f>IF(Tableau1[[#This Row],[STOCK disponible]]&lt;Tableau1[[#This Row],[SEUIL]],"A COMMANDER","")</f>
        <v/>
      </c>
      <c r="AD188" s="9" t="str">
        <f>IF(ISBLANK(Tableau1[[#This Row],[date de livraison réappro]]),"",(IF(Tableau1[[#This Row],[date de livraison réappro]]&lt;Tableau1[[#This Row],[date de rupture estimé]],"OK","RUPTURE")))</f>
        <v/>
      </c>
      <c r="AE188" s="17">
        <v>30</v>
      </c>
      <c r="AG188" s="44"/>
      <c r="AM188" s="12"/>
      <c r="AN188" s="12"/>
      <c r="AO188" s="12"/>
      <c r="AP188" s="12"/>
      <c r="AQ188" s="12"/>
      <c r="AR188" s="12"/>
      <c r="AS188" s="12"/>
    </row>
    <row r="189" spans="1:45" hidden="1">
      <c r="A189" s="20">
        <v>100102</v>
      </c>
      <c r="B189" s="1" t="s">
        <v>547</v>
      </c>
      <c r="C189" s="1" t="s">
        <v>52</v>
      </c>
      <c r="D189" s="32"/>
      <c r="E189" s="32"/>
      <c r="F189" s="32"/>
      <c r="G189" s="32"/>
      <c r="H189" s="1">
        <v>1</v>
      </c>
      <c r="I189" s="32"/>
      <c r="J189" s="1"/>
      <c r="K189" s="1"/>
      <c r="L189" s="1"/>
      <c r="M189" s="1" t="s">
        <v>133</v>
      </c>
      <c r="N189" s="1" t="s">
        <v>343</v>
      </c>
      <c r="O189" s="1" t="s">
        <v>548</v>
      </c>
      <c r="P189" s="1"/>
      <c r="Q189" s="14">
        <v>7.28</v>
      </c>
      <c r="R189" s="14">
        <f>(SUM(D189:G189,I189))*Q189</f>
        <v>0</v>
      </c>
      <c r="S189" s="1">
        <v>2</v>
      </c>
      <c r="T189">
        <f>+Tableau1[[#This Row],[DELAIS (w)]]*7</f>
        <v>14</v>
      </c>
      <c r="U189">
        <v>43</v>
      </c>
      <c r="V189">
        <v>43</v>
      </c>
      <c r="W189">
        <f>(Tableau1[[#This Row],[DELAIS (w)]]+2)*(2.5*SUM(Tableau1[[#This Row],[086401 - Train mobile équipé pour DIPRO 3x]:[086885 - Ensemble Codeur - DIPRO 3x]]))</f>
        <v>10</v>
      </c>
      <c r="X189">
        <f>+Tableau1[[#This Row],[STOCK disponible]]/(SUM(Tableau1[[#This Row],[086401 - Train mobile équipé pour DIPRO 3x]:[086885 - Ensemble Codeur - DIPRO 3x]])*2.5)</f>
        <v>17.2</v>
      </c>
      <c r="Y189" s="9">
        <f ca="1">TODAY()+(Tableau1[[#This Row],[COUVERTURE W (capa 2,5M/S)]]*7)</f>
        <v>46339.4</v>
      </c>
      <c r="Z189" s="9" t="str">
        <f>IF(Tableau1[[#This Row],[STOCK disponible]]&lt;Tableau1[[#This Row],[SEUIL]],"A COMMANDER","")</f>
        <v/>
      </c>
      <c r="AD189" s="9" t="str">
        <f>IF(ISBLANK(Tableau1[[#This Row],[date de livraison réappro]]),"",(IF(Tableau1[[#This Row],[date de livraison réappro]]&lt;Tableau1[[#This Row],[date de rupture estimé]],"OK","RUPTURE")))</f>
        <v/>
      </c>
      <c r="AE189" s="17">
        <v>37</v>
      </c>
      <c r="AG189" s="44"/>
      <c r="AM189" s="12"/>
      <c r="AN189" s="12"/>
      <c r="AO189" s="12"/>
      <c r="AP189" s="12"/>
      <c r="AQ189" s="12"/>
      <c r="AR189" s="12"/>
      <c r="AS189" s="12"/>
    </row>
    <row r="190" spans="1:45" ht="13.5" hidden="1" customHeight="1">
      <c r="A190" s="20" t="s">
        <v>549</v>
      </c>
      <c r="B190" s="21" t="s">
        <v>550</v>
      </c>
      <c r="C190" s="21"/>
      <c r="L190">
        <v>2</v>
      </c>
      <c r="M190" t="s">
        <v>308</v>
      </c>
      <c r="N190" t="s">
        <v>134</v>
      </c>
      <c r="O190" t="s">
        <v>551</v>
      </c>
      <c r="P190">
        <v>25</v>
      </c>
      <c r="Q190" s="12">
        <v>5</v>
      </c>
      <c r="R190" s="14">
        <f>(SUM(D190:G190,I190))*Q190</f>
        <v>0</v>
      </c>
      <c r="S190">
        <v>2</v>
      </c>
      <c r="T190">
        <f>+Tableau1[[#This Row],[DELAIS (w)]]*7</f>
        <v>14</v>
      </c>
      <c r="U190"/>
      <c r="Y190" s="9"/>
      <c r="Z190" s="9"/>
      <c r="AD190" s="9" t="str">
        <f>IF(ISBLANK(Tableau1[[#This Row],[date de livraison réappro]]),"",(IF(Tableau1[[#This Row],[date de livraison réappro]]&lt;Tableau1[[#This Row],[date de rupture estimé]],"OK","RUPTURE")))</f>
        <v/>
      </c>
      <c r="AE190" s="16"/>
      <c r="AG190" s="44"/>
      <c r="AM190" s="12"/>
      <c r="AN190" s="12"/>
      <c r="AO190" s="12"/>
      <c r="AP190" s="12"/>
      <c r="AQ190" s="12"/>
      <c r="AR190" s="12"/>
      <c r="AS190" s="12"/>
    </row>
    <row r="191" spans="1:45" hidden="1">
      <c r="A191" s="20">
        <v>100103</v>
      </c>
      <c r="B191" s="1" t="s">
        <v>552</v>
      </c>
      <c r="C191" s="1" t="s">
        <v>52</v>
      </c>
      <c r="D191" s="32"/>
      <c r="E191" s="32"/>
      <c r="F191" s="32"/>
      <c r="G191" s="32"/>
      <c r="H191" s="1">
        <v>1</v>
      </c>
      <c r="I191" s="32"/>
      <c r="J191" s="1"/>
      <c r="K191" s="1"/>
      <c r="L191" s="1"/>
      <c r="M191" s="1" t="s">
        <v>133</v>
      </c>
      <c r="N191" s="1" t="s">
        <v>343</v>
      </c>
      <c r="O191" s="1">
        <v>33435046</v>
      </c>
      <c r="P191" s="1"/>
      <c r="Q191" s="14">
        <v>1.9</v>
      </c>
      <c r="R191" s="14">
        <f>(SUM(D191:G191,I191))*Q191</f>
        <v>0</v>
      </c>
      <c r="S191" s="1">
        <v>2</v>
      </c>
      <c r="T191">
        <f>+Tableau1[[#This Row],[DELAIS (w)]]*7</f>
        <v>14</v>
      </c>
      <c r="U191">
        <v>45</v>
      </c>
      <c r="V191">
        <v>45</v>
      </c>
      <c r="W191">
        <f>(Tableau1[[#This Row],[DELAIS (w)]]+2)*(2.5*SUM(Tableau1[[#This Row],[086401 - Train mobile équipé pour DIPRO 3x]:[086885 - Ensemble Codeur - DIPRO 3x]]))</f>
        <v>10</v>
      </c>
      <c r="X191">
        <f>+Tableau1[[#This Row],[STOCK disponible]]/(SUM(Tableau1[[#This Row],[086401 - Train mobile équipé pour DIPRO 3x]:[086885 - Ensemble Codeur - DIPRO 3x]])*2.5)</f>
        <v>18</v>
      </c>
      <c r="Y191" s="9">
        <f ca="1">TODAY()+(Tableau1[[#This Row],[COUVERTURE W (capa 2,5M/S)]]*7)</f>
        <v>46345</v>
      </c>
      <c r="Z191" s="9" t="str">
        <f>IF(Tableau1[[#This Row],[STOCK disponible]]&lt;Tableau1[[#This Row],[SEUIL]],"A COMMANDER","")</f>
        <v/>
      </c>
      <c r="AD191" s="9" t="str">
        <f>IF(ISBLANK(Tableau1[[#This Row],[date de livraison réappro]]),"",(IF(Tableau1[[#This Row],[date de livraison réappro]]&lt;Tableau1[[#This Row],[date de rupture estimé]],"OK","RUPTURE")))</f>
        <v/>
      </c>
      <c r="AE191" s="17">
        <v>37</v>
      </c>
      <c r="AG191" s="44"/>
      <c r="AM191" s="12"/>
      <c r="AN191" s="12"/>
      <c r="AO191" s="12"/>
      <c r="AP191" s="12"/>
      <c r="AQ191" s="12"/>
      <c r="AR191" s="12"/>
      <c r="AS191" s="12"/>
    </row>
    <row r="192" spans="1:45" hidden="1">
      <c r="A192" s="20" t="s">
        <v>553</v>
      </c>
      <c r="B192" s="1" t="s">
        <v>554</v>
      </c>
      <c r="C192" s="1"/>
      <c r="D192" s="32"/>
      <c r="E192" s="32"/>
      <c r="F192" s="32"/>
      <c r="G192" s="32"/>
      <c r="H192" s="1"/>
      <c r="I192" s="32"/>
      <c r="J192" s="1"/>
      <c r="K192" s="1"/>
      <c r="L192" s="1">
        <v>4</v>
      </c>
      <c r="M192" s="1" t="s">
        <v>543</v>
      </c>
      <c r="N192" s="1" t="s">
        <v>61</v>
      </c>
      <c r="O192" s="1"/>
      <c r="P192" s="1">
        <v>240</v>
      </c>
      <c r="Q192" s="14">
        <v>1.4</v>
      </c>
      <c r="R192" s="14">
        <f>(SUM(D192:G192,I192))*Q192</f>
        <v>0</v>
      </c>
      <c r="S192" s="1">
        <v>5</v>
      </c>
      <c r="T192">
        <f>+Tableau1[[#This Row],[DELAIS (w)]]*7</f>
        <v>35</v>
      </c>
      <c r="U192">
        <v>130</v>
      </c>
      <c r="V192">
        <v>130</v>
      </c>
      <c r="W192">
        <f>(Tableau1[[#This Row],[DELAIS (w)]]+2)*(2.5*SUM(Tableau1[[#This Row],[086401 - Train mobile équipé pour DIPRO 3x]:[086885 - Ensemble Codeur - DIPRO 3x]]))</f>
        <v>70</v>
      </c>
      <c r="X192">
        <f>+Tableau1[[#This Row],[STOCK disponible]]/(SUM(Tableau1[[#This Row],[086401 - Train mobile équipé pour DIPRO 3x]:[086885 - Ensemble Codeur - DIPRO 3x]])*2.5)</f>
        <v>13</v>
      </c>
      <c r="Y192" s="9">
        <f ca="1">TODAY()+(Tableau1[[#This Row],[COUVERTURE W (capa 2,5M/S)]]*7)</f>
        <v>46310</v>
      </c>
      <c r="Z192" s="9" t="str">
        <f>IF(Tableau1[[#This Row],[STOCK disponible]]&lt;Tableau1[[#This Row],[SEUIL]],"A COMMANDER","")</f>
        <v/>
      </c>
      <c r="AD192" s="9" t="str">
        <f>IF(ISBLANK(Tableau1[[#This Row],[date de livraison réappro]]),"",(IF(Tableau1[[#This Row],[date de livraison réappro]]&lt;Tableau1[[#This Row],[date de rupture estimé]],"OK","RUPTURE")))</f>
        <v/>
      </c>
      <c r="AE192" s="16"/>
      <c r="AG192" s="44"/>
      <c r="AM192" s="12"/>
      <c r="AN192" s="12"/>
      <c r="AO192" s="12"/>
      <c r="AP192" s="12"/>
      <c r="AQ192" s="12"/>
      <c r="AR192" s="12">
        <f>Tableau1[[#This Row],[tot tarif ligne]]</f>
        <v>0</v>
      </c>
      <c r="AS192" s="12"/>
    </row>
    <row r="193" spans="1:45" hidden="1">
      <c r="A193" s="20" t="s">
        <v>555</v>
      </c>
      <c r="B193" s="1" t="s">
        <v>556</v>
      </c>
      <c r="C193" s="1"/>
      <c r="D193" s="32"/>
      <c r="E193" s="32"/>
      <c r="F193" s="32"/>
      <c r="G193" s="32"/>
      <c r="H193" s="1"/>
      <c r="I193" s="32"/>
      <c r="J193" s="1"/>
      <c r="K193" s="1">
        <v>1</v>
      </c>
      <c r="L193" s="1"/>
      <c r="M193" s="1" t="s">
        <v>350</v>
      </c>
      <c r="N193" s="1" t="s">
        <v>367</v>
      </c>
      <c r="O193" s="1"/>
      <c r="P193" s="1"/>
      <c r="Q193" s="14">
        <v>0.88</v>
      </c>
      <c r="R193" s="14">
        <f>(SUM(D193:G193,I193))*Q193</f>
        <v>0</v>
      </c>
      <c r="S193" s="1">
        <v>2</v>
      </c>
      <c r="T193">
        <f>+Tableau1[[#This Row],[DELAIS (w)]]*7</f>
        <v>14</v>
      </c>
      <c r="U193">
        <v>42</v>
      </c>
      <c r="V193">
        <v>42</v>
      </c>
      <c r="W193">
        <f>(Tableau1[[#This Row],[DELAIS (w)]]+2)*(2.5*SUM(Tableau1[[#This Row],[086401 - Train mobile équipé pour DIPRO 3x]:[086885 - Ensemble Codeur - DIPRO 3x]]))</f>
        <v>10</v>
      </c>
      <c r="X193">
        <f>+Tableau1[[#This Row],[STOCK disponible]]/(SUM(Tableau1[[#This Row],[086401 - Train mobile équipé pour DIPRO 3x]:[086885 - Ensemble Codeur - DIPRO 3x]])*2.5)</f>
        <v>16.8</v>
      </c>
      <c r="Y193" s="9">
        <f ca="1">TODAY()+(Tableau1[[#This Row],[COUVERTURE W (capa 2,5M/S)]]*7)</f>
        <v>46336.6</v>
      </c>
      <c r="Z193" s="9" t="str">
        <f>IF(Tableau1[[#This Row],[STOCK disponible]]&lt;Tableau1[[#This Row],[SEUIL]],"A COMMANDER","")</f>
        <v/>
      </c>
      <c r="AD193" s="9" t="str">
        <f>IF(ISBLANK(Tableau1[[#This Row],[date de livraison réappro]]),"",(IF(Tableau1[[#This Row],[date de livraison réappro]]&lt;Tableau1[[#This Row],[date de rupture estimé]],"OK","RUPTURE")))</f>
        <v/>
      </c>
      <c r="AE193" s="17">
        <v>90</v>
      </c>
      <c r="AG193" s="44"/>
      <c r="AM193" s="12"/>
      <c r="AN193" s="12"/>
      <c r="AO193" s="12"/>
      <c r="AP193" s="12"/>
      <c r="AQ193" s="12"/>
      <c r="AR193" s="12"/>
      <c r="AS193" s="12"/>
    </row>
    <row r="194" spans="1:45" hidden="1">
      <c r="A194" s="20" t="s">
        <v>557</v>
      </c>
      <c r="B194" s="1" t="s">
        <v>558</v>
      </c>
      <c r="C194" s="1"/>
      <c r="D194" s="32"/>
      <c r="E194" s="32"/>
      <c r="F194" s="32"/>
      <c r="G194" s="32"/>
      <c r="H194" s="1"/>
      <c r="I194" s="32"/>
      <c r="J194" s="1"/>
      <c r="K194" s="1"/>
      <c r="L194" s="1">
        <v>1</v>
      </c>
      <c r="M194" s="1" t="s">
        <v>350</v>
      </c>
      <c r="N194" s="1" t="s">
        <v>367</v>
      </c>
      <c r="O194" s="1"/>
      <c r="P194" s="1">
        <v>60</v>
      </c>
      <c r="Q194" s="14">
        <v>0.88</v>
      </c>
      <c r="R194" s="14">
        <f>(SUM(D194:G194,I194))*Q194</f>
        <v>0</v>
      </c>
      <c r="S194" s="1">
        <v>2</v>
      </c>
      <c r="T194">
        <f>+Tableau1[[#This Row],[DELAIS (w)]]*7</f>
        <v>14</v>
      </c>
      <c r="U194">
        <v>29</v>
      </c>
      <c r="V194">
        <v>29</v>
      </c>
      <c r="W194">
        <f>(Tableau1[[#This Row],[DELAIS (w)]]+2)*(2.5*SUM(Tableau1[[#This Row],[086401 - Train mobile équipé pour DIPRO 3x]:[086885 - Ensemble Codeur - DIPRO 3x]]))</f>
        <v>10</v>
      </c>
      <c r="X194">
        <f>+Tableau1[[#This Row],[STOCK disponible]]/(SUM(Tableau1[[#This Row],[086401 - Train mobile équipé pour DIPRO 3x]:[086885 - Ensemble Codeur - DIPRO 3x]])*2.5)</f>
        <v>11.6</v>
      </c>
      <c r="Y194" s="9">
        <f ca="1">TODAY()+(Tableau1[[#This Row],[COUVERTURE W (capa 2,5M/S)]]*7)</f>
        <v>46300.2</v>
      </c>
      <c r="Z194" s="9" t="str">
        <f>IF(Tableau1[[#This Row],[STOCK disponible]]&lt;Tableau1[[#This Row],[SEUIL]],"A COMMANDER","")</f>
        <v/>
      </c>
      <c r="AD194" s="9" t="str">
        <f>IF(ISBLANK(Tableau1[[#This Row],[date de livraison réappro]]),"",(IF(Tableau1[[#This Row],[date de livraison réappro]]&lt;Tableau1[[#This Row],[date de rupture estimé]],"OK","RUPTURE")))</f>
        <v/>
      </c>
      <c r="AE194" s="17">
        <v>30</v>
      </c>
      <c r="AG194" s="44"/>
      <c r="AM194" s="12"/>
      <c r="AN194" s="12"/>
      <c r="AO194" s="12"/>
      <c r="AP194" s="12"/>
      <c r="AQ194" s="12"/>
      <c r="AR194" s="12"/>
      <c r="AS194" s="12"/>
    </row>
    <row r="195" spans="1:45" hidden="1">
      <c r="A195" s="20" t="s">
        <v>559</v>
      </c>
      <c r="B195" s="1" t="s">
        <v>560</v>
      </c>
      <c r="C195" s="1"/>
      <c r="D195" s="32"/>
      <c r="E195" s="32"/>
      <c r="F195" s="32"/>
      <c r="G195" s="32"/>
      <c r="H195" s="1"/>
      <c r="I195" s="32"/>
      <c r="J195" s="1">
        <v>1</v>
      </c>
      <c r="K195" s="1"/>
      <c r="L195" s="1"/>
      <c r="M195" s="1" t="s">
        <v>350</v>
      </c>
      <c r="N195" s="1" t="s">
        <v>367</v>
      </c>
      <c r="O195" s="1"/>
      <c r="P195" s="1"/>
      <c r="Q195" s="14">
        <v>0.88</v>
      </c>
      <c r="R195" s="14">
        <f>(SUM(D195:G195,I195))*Q195</f>
        <v>0</v>
      </c>
      <c r="S195" s="1">
        <v>2</v>
      </c>
      <c r="T195">
        <f>+Tableau1[[#This Row],[DELAIS (w)]]*7</f>
        <v>14</v>
      </c>
      <c r="U195">
        <v>41</v>
      </c>
      <c r="V195">
        <v>41</v>
      </c>
      <c r="W195">
        <f>(Tableau1[[#This Row],[DELAIS (w)]]+2)*(2.5*SUM(Tableau1[[#This Row],[086401 - Train mobile équipé pour DIPRO 3x]:[086885 - Ensemble Codeur - DIPRO 3x]]))</f>
        <v>10</v>
      </c>
      <c r="X195">
        <f>+Tableau1[[#This Row],[STOCK disponible]]/(SUM(Tableau1[[#This Row],[086401 - Train mobile équipé pour DIPRO 3x]:[086885 - Ensemble Codeur - DIPRO 3x]])*2.5)</f>
        <v>16.399999999999999</v>
      </c>
      <c r="Y195" s="9">
        <f ca="1">TODAY()+(Tableau1[[#This Row],[COUVERTURE W (capa 2,5M/S)]]*7)</f>
        <v>46333.8</v>
      </c>
      <c r="Z195" s="9" t="str">
        <f>IF(Tableau1[[#This Row],[STOCK disponible]]&lt;Tableau1[[#This Row],[SEUIL]],"A COMMANDER","")</f>
        <v/>
      </c>
      <c r="AD195" s="9" t="str">
        <f>IF(ISBLANK(Tableau1[[#This Row],[date de livraison réappro]]),"",(IF(Tableau1[[#This Row],[date de livraison réappro]]&lt;Tableau1[[#This Row],[date de rupture estimé]],"OK","RUPTURE")))</f>
        <v/>
      </c>
      <c r="AE195" s="17">
        <v>45</v>
      </c>
      <c r="AG195" s="44"/>
      <c r="AM195" s="12"/>
      <c r="AN195" s="12"/>
      <c r="AO195" s="12"/>
      <c r="AP195" s="12"/>
      <c r="AQ195" s="12"/>
      <c r="AR195" s="12"/>
      <c r="AS195" s="12"/>
    </row>
    <row r="196" spans="1:45" hidden="1">
      <c r="A196" s="20" t="s">
        <v>561</v>
      </c>
      <c r="B196" s="1" t="s">
        <v>562</v>
      </c>
      <c r="C196" s="1"/>
      <c r="D196" s="32"/>
      <c r="E196" s="32"/>
      <c r="F196" s="32"/>
      <c r="G196" s="32"/>
      <c r="H196" s="1">
        <v>1</v>
      </c>
      <c r="I196" s="32"/>
      <c r="J196" s="1"/>
      <c r="K196" s="1"/>
      <c r="L196" s="1"/>
      <c r="M196" s="1" t="s">
        <v>350</v>
      </c>
      <c r="N196" s="1" t="s">
        <v>367</v>
      </c>
      <c r="O196" s="1"/>
      <c r="P196" s="1">
        <v>60</v>
      </c>
      <c r="Q196" s="14">
        <v>0.88</v>
      </c>
      <c r="R196" s="14">
        <f>(SUM(D196:G196,I196))*Q196</f>
        <v>0</v>
      </c>
      <c r="S196" s="1">
        <v>2</v>
      </c>
      <c r="T196">
        <f>+Tableau1[[#This Row],[DELAIS (w)]]*7</f>
        <v>14</v>
      </c>
      <c r="U196">
        <v>47</v>
      </c>
      <c r="V196">
        <v>47</v>
      </c>
      <c r="W196">
        <f>(Tableau1[[#This Row],[DELAIS (w)]]+2)*(2.5*SUM(Tableau1[[#This Row],[086401 - Train mobile équipé pour DIPRO 3x]:[086885 - Ensemble Codeur - DIPRO 3x]]))</f>
        <v>10</v>
      </c>
      <c r="X196">
        <f>+Tableau1[[#This Row],[STOCK disponible]]/(SUM(Tableau1[[#This Row],[086401 - Train mobile équipé pour DIPRO 3x]:[086885 - Ensemble Codeur - DIPRO 3x]])*2.5)</f>
        <v>18.8</v>
      </c>
      <c r="Y196" s="9">
        <f ca="1">TODAY()+(Tableau1[[#This Row],[COUVERTURE W (capa 2,5M/S)]]*7)</f>
        <v>46350.6</v>
      </c>
      <c r="Z196" s="9" t="str">
        <f>IF(Tableau1[[#This Row],[STOCK disponible]]&lt;Tableau1[[#This Row],[SEUIL]],"A COMMANDER","")</f>
        <v/>
      </c>
      <c r="AD196" s="9" t="str">
        <f>IF(ISBLANK(Tableau1[[#This Row],[date de livraison réappro]]),"",(IF(Tableau1[[#This Row],[date de livraison réappro]]&lt;Tableau1[[#This Row],[date de rupture estimé]],"OK","RUPTURE")))</f>
        <v/>
      </c>
      <c r="AE196" s="17">
        <v>47</v>
      </c>
      <c r="AG196" s="44"/>
      <c r="AM196" s="12"/>
      <c r="AN196" s="12"/>
      <c r="AO196" s="12"/>
      <c r="AP196" s="12"/>
      <c r="AQ196" s="12"/>
      <c r="AR196" s="12"/>
      <c r="AS196" s="12"/>
    </row>
    <row r="197" spans="1:45" hidden="1">
      <c r="A197" s="20" t="s">
        <v>563</v>
      </c>
      <c r="B197" t="s">
        <v>564</v>
      </c>
      <c r="H197">
        <v>1</v>
      </c>
      <c r="M197" t="s">
        <v>350</v>
      </c>
      <c r="N197" t="s">
        <v>367</v>
      </c>
      <c r="P197">
        <v>50</v>
      </c>
      <c r="Q197" s="14">
        <v>0.88</v>
      </c>
      <c r="R197" s="14">
        <f>(SUM(D197:G197,I197))*Q197</f>
        <v>0</v>
      </c>
      <c r="S197">
        <v>2</v>
      </c>
      <c r="T197">
        <f>+Tableau1[[#This Row],[DELAIS (w)]]*7</f>
        <v>14</v>
      </c>
      <c r="U197"/>
      <c r="W197">
        <f>(Tableau1[[#This Row],[DELAIS (w)]]+2)*(2*SUM(Tableau1[[#This Row],[086401 - Train mobile équipé pour DIPRO 3x]:[086885 - Ensemble Codeur - DIPRO 3x]]))</f>
        <v>8</v>
      </c>
      <c r="X197">
        <f>+Tableau1[[#This Row],[STOCK disponible]]/(SUM(Tableau1[[#This Row],[086401 - Train mobile équipé pour DIPRO 3x]:[086885 - Ensemble Codeur - DIPRO 3x]])*2.5)</f>
        <v>0</v>
      </c>
      <c r="Y197" s="9">
        <f ca="1">TODAY()+(Tableau1[[#This Row],[COUVERTURE W (capa 2,5M/S)]]*7)</f>
        <v>46219</v>
      </c>
      <c r="Z197" s="9"/>
      <c r="AD197" s="9" t="str">
        <f>IF(ISBLANK(Tableau1[[#This Row],[date de livraison réappro]]),"",(IF(Tableau1[[#This Row],[date de livraison réappro]]&lt;Tableau1[[#This Row],[date de rupture estimé]],"OK","RUPTURE")))</f>
        <v/>
      </c>
      <c r="AE197" s="16"/>
      <c r="AG197" s="44"/>
      <c r="AM197" s="12"/>
      <c r="AN197" s="12"/>
      <c r="AO197" s="12"/>
      <c r="AP197" s="12"/>
      <c r="AQ197" s="12"/>
      <c r="AR197" s="12"/>
      <c r="AS197" s="12"/>
    </row>
    <row r="198" spans="1:45" hidden="1">
      <c r="A198" s="20" t="s">
        <v>565</v>
      </c>
      <c r="B198" s="1" t="s">
        <v>566</v>
      </c>
      <c r="C198" s="1" t="s">
        <v>528</v>
      </c>
      <c r="D198" s="32"/>
      <c r="E198" s="32"/>
      <c r="F198" s="32"/>
      <c r="G198" s="32"/>
      <c r="H198" s="1"/>
      <c r="I198" s="32"/>
      <c r="J198" s="1"/>
      <c r="K198" s="1"/>
      <c r="L198" s="1">
        <v>2</v>
      </c>
      <c r="M198" s="1" t="s">
        <v>133</v>
      </c>
      <c r="N198" s="1" t="s">
        <v>134</v>
      </c>
      <c r="O198" s="1" t="s">
        <v>567</v>
      </c>
      <c r="P198" s="1"/>
      <c r="Q198" s="14">
        <v>0.83</v>
      </c>
      <c r="R198" s="14">
        <f>(SUM(D198:G198,I198))*Q198</f>
        <v>0</v>
      </c>
      <c r="S198" s="1">
        <v>1</v>
      </c>
      <c r="T198">
        <f>+Tableau1[[#This Row],[DELAIS (w)]]*7</f>
        <v>7</v>
      </c>
      <c r="U198">
        <v>58</v>
      </c>
      <c r="V198">
        <v>58</v>
      </c>
      <c r="W198">
        <f>(Tableau1[[#This Row],[DELAIS (w)]]+2)*(2.5*SUM(Tableau1[[#This Row],[086401 - Train mobile équipé pour DIPRO 3x]:[086885 - Ensemble Codeur - DIPRO 3x]]))</f>
        <v>15</v>
      </c>
      <c r="X198">
        <f>+Tableau1[[#This Row],[STOCK disponible]]/(SUM(Tableau1[[#This Row],[086401 - Train mobile équipé pour DIPRO 3x]:[086885 - Ensemble Codeur - DIPRO 3x]])*2.5)</f>
        <v>11.6</v>
      </c>
      <c r="Y198" s="9">
        <f ca="1">TODAY()+(Tableau1[[#This Row],[COUVERTURE W (capa 2,5M/S)]]*7)</f>
        <v>46300.2</v>
      </c>
      <c r="Z198" s="9" t="str">
        <f>IF(Tableau1[[#This Row],[STOCK disponible]]&lt;Tableau1[[#This Row],[SEUIL]],"A COMMANDER","")</f>
        <v/>
      </c>
      <c r="AD198" s="9" t="str">
        <f>IF(ISBLANK(Tableau1[[#This Row],[date de livraison réappro]]),"",(IF(Tableau1[[#This Row],[date de livraison réappro]]&lt;Tableau1[[#This Row],[date de rupture estimé]],"OK","RUPTURE")))</f>
        <v/>
      </c>
      <c r="AE198" s="17">
        <v>60</v>
      </c>
      <c r="AG198" s="44"/>
      <c r="AM198" s="12"/>
      <c r="AN198" s="12"/>
      <c r="AO198" s="12"/>
      <c r="AP198" s="12"/>
      <c r="AQ198" s="12"/>
      <c r="AR198" s="12"/>
      <c r="AS198" s="12"/>
    </row>
    <row r="199" spans="1:45" hidden="1">
      <c r="A199" s="20" t="s">
        <v>568</v>
      </c>
      <c r="B199" t="s">
        <v>569</v>
      </c>
      <c r="L199">
        <v>8</v>
      </c>
      <c r="M199" t="s">
        <v>308</v>
      </c>
      <c r="N199" t="s">
        <v>363</v>
      </c>
      <c r="O199" t="s">
        <v>570</v>
      </c>
      <c r="P199">
        <v>1000</v>
      </c>
      <c r="Q199" s="12">
        <v>2.2100000000000002E-2</v>
      </c>
      <c r="R199" s="14">
        <f>(SUM(D199:G199,I199))*Q199</f>
        <v>0</v>
      </c>
      <c r="S199">
        <v>2</v>
      </c>
      <c r="T199">
        <f>+Tableau1[[#This Row],[DELAIS (w)]]*7</f>
        <v>14</v>
      </c>
      <c r="U199"/>
      <c r="Y199" s="9"/>
      <c r="Z199" s="9"/>
      <c r="AD199" s="9" t="str">
        <f>IF(ISBLANK(Tableau1[[#This Row],[date de livraison réappro]]),"",(IF(Tableau1[[#This Row],[date de livraison réappro]]&lt;Tableau1[[#This Row],[date de rupture estimé]],"OK","RUPTURE")))</f>
        <v/>
      </c>
      <c r="AE199" s="16"/>
      <c r="AG199" s="44"/>
      <c r="AM199" s="12"/>
      <c r="AN199" s="12"/>
      <c r="AO199" s="12"/>
      <c r="AP199" s="12"/>
      <c r="AQ199" s="12"/>
      <c r="AR199" s="12"/>
      <c r="AS199" s="12"/>
    </row>
    <row r="200" spans="1:45" hidden="1">
      <c r="A200" s="20" t="s">
        <v>571</v>
      </c>
      <c r="B200" t="s">
        <v>572</v>
      </c>
      <c r="L200">
        <v>3</v>
      </c>
      <c r="M200" t="s">
        <v>308</v>
      </c>
      <c r="N200" t="s">
        <v>363</v>
      </c>
      <c r="O200" t="s">
        <v>573</v>
      </c>
      <c r="P200">
        <v>400</v>
      </c>
      <c r="Q200" s="12">
        <v>8.6999999999999994E-3</v>
      </c>
      <c r="R200" s="14">
        <f>(SUM(D200:G200,I200))*Q200</f>
        <v>0</v>
      </c>
      <c r="S200">
        <v>2</v>
      </c>
      <c r="T200">
        <f>+Tableau1[[#This Row],[DELAIS (w)]]*7</f>
        <v>14</v>
      </c>
      <c r="U200"/>
      <c r="Y200" s="9"/>
      <c r="Z200" s="9"/>
      <c r="AD200" s="9" t="str">
        <f>IF(ISBLANK(Tableau1[[#This Row],[date de livraison réappro]]),"",(IF(Tableau1[[#This Row],[date de livraison réappro]]&lt;Tableau1[[#This Row],[date de rupture estimé]],"OK","RUPTURE")))</f>
        <v/>
      </c>
      <c r="AE200" s="16"/>
      <c r="AG200" s="44"/>
      <c r="AM200" s="12"/>
      <c r="AN200" s="12"/>
      <c r="AO200" s="12"/>
      <c r="AP200" s="12"/>
      <c r="AQ200" s="12"/>
      <c r="AR200" s="12"/>
      <c r="AS200" s="12"/>
    </row>
    <row r="201" spans="1:45" hidden="1">
      <c r="A201" s="20" t="s">
        <v>574</v>
      </c>
      <c r="B201" t="s">
        <v>575</v>
      </c>
      <c r="L201">
        <v>10</v>
      </c>
      <c r="M201" t="s">
        <v>308</v>
      </c>
      <c r="N201" t="s">
        <v>363</v>
      </c>
      <c r="O201" t="s">
        <v>576</v>
      </c>
      <c r="P201">
        <v>1200</v>
      </c>
      <c r="Q201" s="12">
        <v>7.3000000000000001E-3</v>
      </c>
      <c r="R201" s="14">
        <f>(SUM(D201:G201,I201))*Q201</f>
        <v>0</v>
      </c>
      <c r="S201">
        <v>2</v>
      </c>
      <c r="T201">
        <f>+Tableau1[[#This Row],[DELAIS (w)]]*7</f>
        <v>14</v>
      </c>
      <c r="U201"/>
      <c r="Y201" s="9"/>
      <c r="Z201" s="9"/>
      <c r="AD201" s="9" t="str">
        <f>IF(ISBLANK(Tableau1[[#This Row],[date de livraison réappro]]),"",(IF(Tableau1[[#This Row],[date de livraison réappro]]&lt;Tableau1[[#This Row],[date de rupture estimé]],"OK","RUPTURE")))</f>
        <v/>
      </c>
      <c r="AE201" s="16"/>
      <c r="AG201" s="44"/>
      <c r="AM201" s="12"/>
      <c r="AN201" s="12"/>
      <c r="AO201" s="12"/>
      <c r="AP201" s="12"/>
      <c r="AQ201" s="12"/>
      <c r="AR201" s="12"/>
      <c r="AS201" s="12"/>
    </row>
    <row r="202" spans="1:45" hidden="1">
      <c r="B202" t="s">
        <v>577</v>
      </c>
      <c r="C202" t="s">
        <v>522</v>
      </c>
      <c r="J202">
        <v>0</v>
      </c>
      <c r="M202" s="1" t="s">
        <v>350</v>
      </c>
      <c r="R202" s="14">
        <f>(SUM(D202:G202,I202))*Q202</f>
        <v>0</v>
      </c>
      <c r="T202">
        <f>+Tableau1[[#This Row],[DELAIS (w)]]*7</f>
        <v>0</v>
      </c>
      <c r="U202"/>
      <c r="Y202" s="9"/>
      <c r="Z202" s="9" t="str">
        <f>IF(Tableau1[[#This Row],[STOCK disponible]]&lt;Tableau1[[#This Row],[SEUIL]],"A COMMANDER","")</f>
        <v/>
      </c>
      <c r="AD202" s="9" t="str">
        <f>IF(ISBLANK(Tableau1[[#This Row],[date de livraison réappro]]),"",(IF(Tableau1[[#This Row],[date de livraison réappro]]&lt;Tableau1[[#This Row],[date de rupture estimé]],"OK","RUPTURE")))</f>
        <v/>
      </c>
      <c r="AE202" s="16"/>
      <c r="AG202" s="44"/>
      <c r="AM202" s="12"/>
      <c r="AN202" s="12"/>
      <c r="AO202" s="12"/>
      <c r="AP202" s="12"/>
      <c r="AQ202" s="12"/>
      <c r="AR202" s="12"/>
      <c r="AS202" s="12"/>
    </row>
    <row r="204" spans="1:45">
      <c r="A204" s="21" t="s">
        <v>578</v>
      </c>
      <c r="Q204" s="12" t="s">
        <v>579</v>
      </c>
      <c r="R204" s="12">
        <f>SUM(R4:R202)</f>
        <v>7869.3550999999979</v>
      </c>
      <c r="AK204" s="6" t="s">
        <v>60</v>
      </c>
      <c r="AL204" s="39" t="s">
        <v>580</v>
      </c>
      <c r="AM204" s="12">
        <f t="shared" ref="AM204:AS204" si="0">SUM(AM5:AM202)</f>
        <v>1755</v>
      </c>
      <c r="AN204" s="12">
        <f>SUM(AN5:AN202)</f>
        <v>1408.4</v>
      </c>
      <c r="AO204" s="12">
        <f t="shared" si="0"/>
        <v>643.20000000000005</v>
      </c>
      <c r="AP204" s="12">
        <f t="shared" si="0"/>
        <v>353.39999999999986</v>
      </c>
      <c r="AQ204" s="12">
        <f>SUM(AQ5:AQ202)</f>
        <v>210.24999999999994</v>
      </c>
      <c r="AR204" s="12">
        <f t="shared" si="0"/>
        <v>60.599999999999987</v>
      </c>
      <c r="AS204" s="12">
        <f t="shared" si="0"/>
        <v>50.239999999999995</v>
      </c>
    </row>
    <row r="205" spans="1:45">
      <c r="A205" s="20" t="s">
        <v>581</v>
      </c>
      <c r="AK205" s="42">
        <f>(D2+E2)/R204</f>
        <v>0.63643881059580165</v>
      </c>
      <c r="AL205" s="39">
        <f>$AM$204/3130</f>
        <v>0.56070287539936103</v>
      </c>
      <c r="AM205" s="39">
        <f>AM204/$R$204</f>
        <v>0.22301700427777119</v>
      </c>
      <c r="AN205" s="39">
        <f t="shared" ref="AN205" si="1">AN204/$R$204</f>
        <v>0.17897273437311279</v>
      </c>
      <c r="AO205" s="39">
        <f t="shared" ref="AO205:AS205" si="2">AO204/$R$204</f>
        <v>8.1734779003682298E-2</v>
      </c>
      <c r="AP205" s="39">
        <f t="shared" si="2"/>
        <v>4.4908381374224676E-2</v>
      </c>
      <c r="AQ205" s="39">
        <f t="shared" ref="AQ205" si="3">AQ204/$R$204</f>
        <v>2.6717564187693093E-2</v>
      </c>
      <c r="AR205" s="39">
        <f t="shared" si="2"/>
        <v>7.7007580964290204E-3</v>
      </c>
      <c r="AS205" s="39">
        <f t="shared" si="2"/>
        <v>6.3842588575015518E-3</v>
      </c>
    </row>
    <row r="206" spans="1:45">
      <c r="A206" s="20" t="s">
        <v>582</v>
      </c>
    </row>
    <row r="207" spans="1:45">
      <c r="A207" s="20" t="s">
        <v>583</v>
      </c>
    </row>
  </sheetData>
  <mergeCells count="1">
    <mergeCell ref="W1:W2"/>
  </mergeCells>
  <phoneticPr fontId="5" type="noConversion"/>
  <conditionalFormatting sqref="O104 F60:L108 A60:B65 A66:C108">
    <cfRule type="expression" dxfId="50" priority="39">
      <formula>IF(RIGHT(A60,6)="SLDASM",1,0)</formula>
    </cfRule>
  </conditionalFormatting>
  <conditionalFormatting sqref="A136">
    <cfRule type="duplicateValues" dxfId="49" priority="23"/>
  </conditionalFormatting>
  <conditionalFormatting sqref="A137">
    <cfRule type="duplicateValues" dxfId="48" priority="21"/>
  </conditionalFormatting>
  <conditionalFormatting sqref="A153:A154">
    <cfRule type="duplicateValues" dxfId="47" priority="24"/>
  </conditionalFormatting>
  <conditionalFormatting sqref="B153:C153">
    <cfRule type="duplicateValues" dxfId="46" priority="25"/>
  </conditionalFormatting>
  <conditionalFormatting sqref="Z1:Z1048576">
    <cfRule type="containsText" dxfId="45" priority="18" operator="containsText" text="A COMMANDER">
      <formula>NOT(ISERROR(SEARCH("A COMMANDER",Z1)))</formula>
    </cfRule>
  </conditionalFormatting>
  <conditionalFormatting sqref="AC3:AC1048576">
    <cfRule type="timePeriod" dxfId="44" priority="12" timePeriod="last7Days">
      <formula>AND(TODAY()-FLOOR(AC3,1)&lt;=6,FLOOR(AC3,1)&lt;=TODAY())</formula>
    </cfRule>
    <cfRule type="timePeriod" dxfId="43" priority="13" timePeriod="thisWeek">
      <formula>AND(TODAY()-ROUNDDOWN(AC3,0)&lt;=WEEKDAY(TODAY())-1,ROUNDDOWN(AC3,0)-TODAY()&lt;=7-WEEKDAY(TODAY()))</formula>
    </cfRule>
  </conditionalFormatting>
  <conditionalFormatting sqref="AD4:AD202">
    <cfRule type="containsText" dxfId="42" priority="10" operator="containsText" text="RUPTURE">
      <formula>NOT(ISERROR(SEARCH("RUPTURE",AD4)))</formula>
    </cfRule>
  </conditionalFormatting>
  <conditionalFormatting sqref="A180:C180 F180:L180">
    <cfRule type="expression" dxfId="41" priority="9">
      <formula>IF(RIGHT(A180,6)="SLDASM",1,0)</formula>
    </cfRule>
  </conditionalFormatting>
  <conditionalFormatting sqref="A1:A1048576">
    <cfRule type="duplicateValues" dxfId="40" priority="8"/>
  </conditionalFormatting>
  <conditionalFormatting sqref="AC4:AC202">
    <cfRule type="expression" dxfId="39" priority="1">
      <formula>AND(AC4&lt;TODAY(),AC4&lt;&gt;"")</formula>
    </cfRule>
  </conditionalFormatting>
  <conditionalFormatting sqref="A4:A59">
    <cfRule type="duplicateValues" dxfId="38" priority="204"/>
  </conditionalFormatting>
  <conditionalFormatting sqref="A1:A180">
    <cfRule type="duplicateValues" dxfId="37" priority="282"/>
  </conditionalFormatting>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AjoutMachine220V">
                <anchor>
                  <from>
                    <xdr:col>1</xdr:col>
                    <xdr:colOff>38100</xdr:colOff>
                    <xdr:row>0</xdr:row>
                    <xdr:rowOff>152400</xdr:rowOff>
                  </from>
                  <to>
                    <xdr:col>1</xdr:col>
                    <xdr:colOff>1790700</xdr:colOff>
                    <xdr:row>0</xdr:row>
                    <xdr:rowOff>723900</xdr:rowOff>
                  </to>
                </anchor>
              </controlPr>
            </control>
          </mc:Choice>
        </mc:AlternateContent>
        <mc:AlternateContent xmlns:mc="http://schemas.openxmlformats.org/markup-compatibility/2006">
          <mc:Choice Requires="x14">
            <control shapeId="1031" r:id="rId5" name="Button 7">
              <controlPr defaultSize="0" print="0" autoFill="0" autoPict="0" macro="[0]!AjoutMachine110V">
                <anchor>
                  <from>
                    <xdr:col>1</xdr:col>
                    <xdr:colOff>2095500</xdr:colOff>
                    <xdr:row>0</xdr:row>
                    <xdr:rowOff>152400</xdr:rowOff>
                  </from>
                  <to>
                    <xdr:col>2</xdr:col>
                    <xdr:colOff>304800</xdr:colOff>
                    <xdr:row>0</xdr:row>
                    <xdr:rowOff>723900</xdr:rowOff>
                  </to>
                </anchor>
              </controlPr>
            </control>
          </mc:Choice>
        </mc:AlternateContent>
        <mc:AlternateContent xmlns:mc="http://schemas.openxmlformats.org/markup-compatibility/2006">
          <mc:Choice Requires="x14">
            <control shapeId="1032" r:id="rId6" name="Button 8">
              <controlPr defaultSize="0" print="0" autoFill="0" autoPict="0" macro="[0]!AjoutMobilite">
                <anchor>
                  <from>
                    <xdr:col>2</xdr:col>
                    <xdr:colOff>1104900</xdr:colOff>
                    <xdr:row>0</xdr:row>
                    <xdr:rowOff>190500</xdr:rowOff>
                  </from>
                  <to>
                    <xdr:col>2</xdr:col>
                    <xdr:colOff>2438400</xdr:colOff>
                    <xdr:row>0</xdr:row>
                    <xdr:rowOff>571500</xdr:rowOff>
                  </to>
                </anchor>
              </controlPr>
            </control>
          </mc:Choice>
        </mc:AlternateContent>
        <mc:AlternateContent xmlns:mc="http://schemas.openxmlformats.org/markup-compatibility/2006">
          <mc:Choice Requires="x14">
            <control shapeId="1033" r:id="rId7" name="Button 9">
              <controlPr defaultSize="0" print="0" autoFill="0" autoPict="0" macro="[0]!AjoutCoupe">
                <anchor>
                  <from>
                    <xdr:col>2</xdr:col>
                    <xdr:colOff>2628900</xdr:colOff>
                    <xdr:row>0</xdr:row>
                    <xdr:rowOff>190500</xdr:rowOff>
                  </from>
                  <to>
                    <xdr:col>3</xdr:col>
                    <xdr:colOff>533400</xdr:colOff>
                    <xdr:row>0</xdr:row>
                    <xdr:rowOff>571500</xdr:rowOff>
                  </to>
                </anchor>
              </controlPr>
            </control>
          </mc:Choice>
        </mc:AlternateContent>
        <mc:AlternateContent xmlns:mc="http://schemas.openxmlformats.org/markup-compatibility/2006">
          <mc:Choice Requires="x14">
            <control shapeId="1034" r:id="rId8" name="Button 10">
              <controlPr defaultSize="0" print="0" autoFill="0" autoPict="0" macro="[0]!AjoutCodeur">
                <anchor>
                  <from>
                    <xdr:col>3</xdr:col>
                    <xdr:colOff>685800</xdr:colOff>
                    <xdr:row>0</xdr:row>
                    <xdr:rowOff>190500</xdr:rowOff>
                  </from>
                  <to>
                    <xdr:col>4</xdr:col>
                    <xdr:colOff>571500</xdr:colOff>
                    <xdr:row>0</xdr:row>
                    <xdr:rowOff>571500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4A79-8629-45F2-BD5E-985BD5FEBB95}">
  <sheetPr>
    <pageSetUpPr fitToPage="1"/>
  </sheetPr>
  <dimension ref="B1:AT36"/>
  <sheetViews>
    <sheetView tabSelected="1" workbookViewId="0">
      <pane xSplit="3" topLeftCell="D1" activePane="topRight" state="frozen"/>
      <selection pane="topRight" activeCell="B8" sqref="B8:B10"/>
    </sheetView>
  </sheetViews>
  <sheetFormatPr defaultColWidth="9.140625" defaultRowHeight="15"/>
  <cols>
    <col min="2" max="2" width="30.42578125" customWidth="1"/>
    <col min="3" max="3" width="12.140625" customWidth="1"/>
    <col min="4" max="4" width="24.140625" customWidth="1"/>
    <col min="5" max="5" width="21.140625" customWidth="1"/>
    <col min="6" max="6" width="9" customWidth="1"/>
    <col min="7" max="7" width="9.42578125" customWidth="1"/>
    <col min="8" max="8" width="41" customWidth="1"/>
    <col min="9" max="9" width="75.85546875" customWidth="1"/>
    <col min="10" max="10" width="13.42578125" style="95" customWidth="1"/>
    <col min="11" max="11" width="80.140625" customWidth="1"/>
    <col min="12" max="12" width="29.7109375" customWidth="1"/>
    <col min="13" max="13" width="30.85546875" customWidth="1"/>
    <col min="14" max="15" width="11.7109375" customWidth="1"/>
    <col min="16" max="16" width="65.7109375" customWidth="1"/>
    <col min="17" max="17" width="32.5703125" customWidth="1"/>
    <col min="18" max="18" width="26.7109375" customWidth="1"/>
    <col min="19" max="19" width="39.28515625" customWidth="1"/>
    <col min="20" max="20" width="30.42578125" customWidth="1"/>
    <col min="21" max="21" width="34.85546875" customWidth="1"/>
    <col min="22" max="23" width="12.28515625" customWidth="1"/>
    <col min="24" max="24" width="30.5703125" customWidth="1"/>
    <col min="25" max="25" width="72.140625" customWidth="1"/>
    <col min="26" max="26" width="40.28515625" customWidth="1"/>
    <col min="27" max="27" width="33.85546875" customWidth="1"/>
    <col min="28" max="28" width="30.42578125" customWidth="1"/>
    <col min="29" max="29" width="34.85546875" customWidth="1"/>
    <col min="30" max="31" width="12.7109375" customWidth="1"/>
    <col min="32" max="32" width="35.140625" customWidth="1"/>
    <col min="33" max="33" width="72.140625" customWidth="1"/>
    <col min="34" max="34" width="40.28515625" customWidth="1"/>
    <col min="35" max="35" width="33.85546875" customWidth="1"/>
    <col min="36" max="36" width="14.28515625" customWidth="1"/>
    <col min="37" max="37" width="13" customWidth="1"/>
    <col min="38" max="38" width="10.7109375" customWidth="1"/>
    <col min="39" max="39" width="33.140625" customWidth="1"/>
    <col min="40" max="40" width="34.85546875" customWidth="1"/>
    <col min="41" max="41" width="35.140625" customWidth="1"/>
    <col min="42" max="42" width="72.140625" customWidth="1"/>
    <col min="43" max="43" width="40.28515625" customWidth="1"/>
    <col min="44" max="44" width="33.85546875" customWidth="1"/>
    <col min="45" max="45" width="33.7109375" customWidth="1"/>
  </cols>
  <sheetData>
    <row r="1" spans="2:46" ht="23.25">
      <c r="D1" s="454" t="s">
        <v>584</v>
      </c>
      <c r="E1" s="455"/>
      <c r="F1" s="455"/>
      <c r="G1" s="455"/>
      <c r="H1" s="455"/>
      <c r="I1" s="455"/>
      <c r="J1" s="455"/>
      <c r="K1" s="458"/>
      <c r="L1" s="459" t="s">
        <v>585</v>
      </c>
      <c r="M1" s="460"/>
      <c r="N1" s="460"/>
      <c r="O1" s="460"/>
      <c r="P1" s="460"/>
      <c r="Q1" s="460"/>
      <c r="R1" s="460"/>
      <c r="S1" s="461"/>
      <c r="T1" s="454" t="s">
        <v>586</v>
      </c>
      <c r="U1" s="455"/>
      <c r="V1" s="455"/>
      <c r="W1" s="455"/>
      <c r="X1" s="455"/>
      <c r="Y1" s="455"/>
      <c r="Z1" s="455"/>
      <c r="AA1" s="458"/>
      <c r="AB1" s="454" t="s">
        <v>587</v>
      </c>
      <c r="AC1" s="455"/>
      <c r="AD1" s="455"/>
      <c r="AE1" s="455"/>
      <c r="AF1" s="455"/>
      <c r="AG1" s="455"/>
      <c r="AH1" s="455"/>
      <c r="AI1" s="455"/>
      <c r="AM1" s="454" t="s">
        <v>588</v>
      </c>
      <c r="AN1" s="455"/>
      <c r="AO1" s="455"/>
      <c r="AP1" s="455"/>
      <c r="AQ1" s="455"/>
      <c r="AR1" s="455"/>
      <c r="AS1" s="96" t="s">
        <v>589</v>
      </c>
    </row>
    <row r="2" spans="2:46" s="6" customFormat="1" ht="30.75">
      <c r="C2" s="243" t="s">
        <v>590</v>
      </c>
      <c r="D2" s="273" t="s">
        <v>591</v>
      </c>
      <c r="E2" s="398" t="s">
        <v>592</v>
      </c>
      <c r="F2" s="231" t="s">
        <v>593</v>
      </c>
      <c r="G2" s="231" t="s">
        <v>594</v>
      </c>
      <c r="H2" s="279" t="s">
        <v>595</v>
      </c>
      <c r="I2" s="231" t="s">
        <v>596</v>
      </c>
      <c r="J2" s="246" t="s">
        <v>597</v>
      </c>
      <c r="K2" s="243" t="s">
        <v>598</v>
      </c>
      <c r="L2" s="294" t="s">
        <v>591</v>
      </c>
      <c r="M2" s="295" t="s">
        <v>592</v>
      </c>
      <c r="N2" s="377" t="s">
        <v>593</v>
      </c>
      <c r="O2" s="377" t="s">
        <v>594</v>
      </c>
      <c r="P2" s="296" t="s">
        <v>595</v>
      </c>
      <c r="Q2" s="297" t="s">
        <v>596</v>
      </c>
      <c r="R2" s="298" t="s">
        <v>597</v>
      </c>
      <c r="S2" s="299" t="s">
        <v>598</v>
      </c>
      <c r="T2" s="273" t="s">
        <v>591</v>
      </c>
      <c r="U2" s="398" t="s">
        <v>592</v>
      </c>
      <c r="V2" s="231"/>
      <c r="W2" s="231"/>
      <c r="X2" s="279" t="s">
        <v>595</v>
      </c>
      <c r="Y2" s="231" t="s">
        <v>596</v>
      </c>
      <c r="Z2" s="246" t="s">
        <v>597</v>
      </c>
      <c r="AA2" s="243" t="s">
        <v>598</v>
      </c>
      <c r="AB2" s="273" t="s">
        <v>591</v>
      </c>
      <c r="AC2" s="286" t="s">
        <v>592</v>
      </c>
      <c r="AD2" s="377" t="s">
        <v>593</v>
      </c>
      <c r="AE2" s="377" t="s">
        <v>599</v>
      </c>
      <c r="AF2" s="279" t="s">
        <v>595</v>
      </c>
      <c r="AG2" s="231" t="s">
        <v>596</v>
      </c>
      <c r="AH2" s="246" t="s">
        <v>597</v>
      </c>
      <c r="AI2" s="243" t="s">
        <v>598</v>
      </c>
      <c r="AM2" s="273" t="s">
        <v>591</v>
      </c>
      <c r="AN2" s="286" t="s">
        <v>592</v>
      </c>
      <c r="AO2" s="279" t="s">
        <v>595</v>
      </c>
      <c r="AP2" s="231" t="s">
        <v>596</v>
      </c>
      <c r="AQ2" s="246" t="s">
        <v>597</v>
      </c>
      <c r="AR2" s="243" t="s">
        <v>598</v>
      </c>
      <c r="AS2" s="6" t="s">
        <v>600</v>
      </c>
    </row>
    <row r="3" spans="2:46" ht="33.75">
      <c r="C3" s="268"/>
      <c r="D3" s="284">
        <f>D17</f>
        <v>1302.2964437689971</v>
      </c>
      <c r="E3" s="378">
        <f>E17</f>
        <v>1200</v>
      </c>
      <c r="F3" s="391"/>
      <c r="G3" s="391"/>
      <c r="H3" s="280"/>
      <c r="I3" s="173"/>
      <c r="J3" s="244"/>
      <c r="K3" s="228"/>
      <c r="L3" s="255">
        <f>L17</f>
        <v>222.09999999999997</v>
      </c>
      <c r="M3" s="235">
        <f>M17</f>
        <v>1330</v>
      </c>
      <c r="N3" s="378"/>
      <c r="O3" s="378"/>
      <c r="P3" s="229"/>
      <c r="Q3" s="173"/>
      <c r="R3" s="244"/>
      <c r="S3" s="256"/>
      <c r="T3" s="284">
        <f>T17</f>
        <v>325.02</v>
      </c>
      <c r="U3" s="378">
        <f>U17</f>
        <v>905</v>
      </c>
      <c r="V3" s="413" t="s">
        <v>593</v>
      </c>
      <c r="W3" s="413" t="s">
        <v>601</v>
      </c>
      <c r="X3" s="280"/>
      <c r="Y3" s="173"/>
      <c r="Z3" s="244"/>
      <c r="AA3" s="228"/>
      <c r="AB3" s="284">
        <f>AB17</f>
        <v>300.74999999999994</v>
      </c>
      <c r="AC3" s="287">
        <f>AC17</f>
        <v>630</v>
      </c>
      <c r="AD3" s="378"/>
      <c r="AE3" s="378"/>
      <c r="AF3" s="280"/>
      <c r="AG3" s="173"/>
      <c r="AH3" s="244"/>
      <c r="AI3" s="228"/>
      <c r="AM3" s="284">
        <f>AM17</f>
        <v>449.15</v>
      </c>
      <c r="AN3" s="287">
        <f>AN17</f>
        <v>100</v>
      </c>
      <c r="AO3" s="280"/>
      <c r="AP3" s="173"/>
      <c r="AQ3" s="244"/>
      <c r="AR3" s="228"/>
    </row>
    <row r="4" spans="2:46">
      <c r="B4" s="456" t="s">
        <v>602</v>
      </c>
      <c r="C4" s="457"/>
      <c r="D4" s="274"/>
      <c r="E4" s="379"/>
      <c r="F4" s="392"/>
      <c r="G4" s="392"/>
      <c r="H4" s="280"/>
      <c r="I4" s="173"/>
      <c r="J4" s="244"/>
      <c r="K4" s="228"/>
      <c r="L4" s="257"/>
      <c r="M4" s="220"/>
      <c r="N4" s="400"/>
      <c r="O4" s="400"/>
      <c r="P4" s="229"/>
      <c r="Q4" s="173"/>
      <c r="R4" s="244"/>
      <c r="S4" s="256"/>
      <c r="T4" s="274"/>
      <c r="U4" s="379"/>
      <c r="V4" s="392"/>
      <c r="W4" s="392"/>
      <c r="X4" s="280"/>
      <c r="Y4" s="173"/>
      <c r="Z4" s="244"/>
      <c r="AA4" s="228"/>
      <c r="AB4" s="274"/>
      <c r="AC4" s="288"/>
      <c r="AD4" s="379"/>
      <c r="AE4" s="379"/>
      <c r="AF4" s="280"/>
      <c r="AG4" s="173"/>
      <c r="AH4" s="244"/>
      <c r="AI4" s="228"/>
      <c r="AJ4" s="86" t="s">
        <v>603</v>
      </c>
      <c r="AK4" s="86" t="s">
        <v>604</v>
      </c>
      <c r="AM4" s="274"/>
      <c r="AN4" s="288"/>
      <c r="AO4" s="280"/>
      <c r="AP4" s="173"/>
      <c r="AQ4" s="244"/>
      <c r="AR4" s="228"/>
    </row>
    <row r="5" spans="2:46" ht="46.5" customHeight="1">
      <c r="B5" s="219" t="s">
        <v>605</v>
      </c>
      <c r="C5" s="269">
        <f>RFQ!I18</f>
        <v>815.54</v>
      </c>
      <c r="D5" s="285">
        <v>550</v>
      </c>
      <c r="E5" s="380">
        <v>50</v>
      </c>
      <c r="F5" s="393">
        <f>D5</f>
        <v>550</v>
      </c>
      <c r="G5" s="393"/>
      <c r="H5" s="280" t="s">
        <v>606</v>
      </c>
      <c r="I5" s="238" t="s">
        <v>607</v>
      </c>
      <c r="J5" s="245" t="s">
        <v>608</v>
      </c>
      <c r="K5" s="230" t="s">
        <v>609</v>
      </c>
      <c r="L5" s="258">
        <v>0</v>
      </c>
      <c r="M5" s="227">
        <v>50</v>
      </c>
      <c r="N5" s="401"/>
      <c r="O5" s="401"/>
      <c r="P5" s="229" t="s">
        <v>610</v>
      </c>
      <c r="Q5" s="238"/>
      <c r="R5" s="245" t="s">
        <v>608</v>
      </c>
      <c r="S5" s="259" t="s">
        <v>609</v>
      </c>
      <c r="T5" s="310">
        <v>9.52</v>
      </c>
      <c r="U5" s="380"/>
      <c r="V5" s="393"/>
      <c r="W5" s="393">
        <f>T5</f>
        <v>9.52</v>
      </c>
      <c r="X5" s="280" t="s">
        <v>606</v>
      </c>
      <c r="Y5" s="238" t="s">
        <v>607</v>
      </c>
      <c r="Z5" s="245" t="s">
        <v>608</v>
      </c>
      <c r="AA5" s="230" t="s">
        <v>609</v>
      </c>
      <c r="AB5" s="310">
        <v>0</v>
      </c>
      <c r="AC5" s="289"/>
      <c r="AD5" s="380"/>
      <c r="AE5" s="380"/>
      <c r="AF5" s="280" t="s">
        <v>606</v>
      </c>
      <c r="AG5" s="238" t="s">
        <v>607</v>
      </c>
      <c r="AH5" s="245" t="s">
        <v>608</v>
      </c>
      <c r="AI5" s="230" t="s">
        <v>609</v>
      </c>
      <c r="AJ5" s="44">
        <f>D5+L5+T5+AB5</f>
        <v>559.52</v>
      </c>
      <c r="AK5" s="5">
        <f>C5-D5-L5-T5-AB5</f>
        <v>256.02</v>
      </c>
      <c r="AL5" s="44">
        <f>AJ5</f>
        <v>559.52</v>
      </c>
      <c r="AM5" s="310">
        <v>0</v>
      </c>
      <c r="AN5" s="289"/>
      <c r="AO5" s="280" t="s">
        <v>606</v>
      </c>
      <c r="AP5" s="238" t="s">
        <v>607</v>
      </c>
      <c r="AQ5" s="245" t="s">
        <v>608</v>
      </c>
      <c r="AR5" s="230" t="s">
        <v>609</v>
      </c>
      <c r="AS5" s="5">
        <f>RFQ!J19</f>
        <v>608.59999999999991</v>
      </c>
    </row>
    <row r="6" spans="2:46" ht="43.5" customHeight="1">
      <c r="B6" s="451" t="s">
        <v>611</v>
      </c>
      <c r="C6" s="270">
        <f>RFQ!I26</f>
        <v>119.13999999999999</v>
      </c>
      <c r="D6" s="275">
        <v>99.22</v>
      </c>
      <c r="E6" s="381"/>
      <c r="F6" s="394">
        <f>D6</f>
        <v>99.22</v>
      </c>
      <c r="G6" s="394"/>
      <c r="H6" s="280" t="s">
        <v>612</v>
      </c>
      <c r="I6" s="173" t="s">
        <v>613</v>
      </c>
      <c r="J6" s="245" t="s">
        <v>608</v>
      </c>
      <c r="K6" s="230" t="s">
        <v>614</v>
      </c>
      <c r="L6" s="260">
        <v>0</v>
      </c>
      <c r="M6" s="223"/>
      <c r="N6" s="402"/>
      <c r="O6" s="402"/>
      <c r="P6" s="229"/>
      <c r="Q6" s="173"/>
      <c r="R6" s="245"/>
      <c r="S6" s="259"/>
      <c r="T6" s="310">
        <v>0</v>
      </c>
      <c r="U6" s="381"/>
      <c r="V6" s="394"/>
      <c r="W6" s="394"/>
      <c r="X6" s="280"/>
      <c r="Y6" s="173"/>
      <c r="Z6" s="245"/>
      <c r="AA6" s="230"/>
      <c r="AB6" s="310">
        <v>0</v>
      </c>
      <c r="AC6" s="290"/>
      <c r="AD6" s="381"/>
      <c r="AE6" s="381"/>
      <c r="AF6" s="280"/>
      <c r="AG6" s="173"/>
      <c r="AH6" s="245"/>
      <c r="AI6" s="230"/>
      <c r="AJ6" s="44">
        <f>D6+L6+T6+AB6</f>
        <v>99.22</v>
      </c>
      <c r="AK6" s="5">
        <f>C6-D6-L6-T6-AB6</f>
        <v>19.919999999999987</v>
      </c>
      <c r="AL6" s="44">
        <f t="shared" ref="AL6:AL7" si="0">AJ6</f>
        <v>99.22</v>
      </c>
      <c r="AM6" s="310">
        <v>0</v>
      </c>
      <c r="AN6" s="290"/>
      <c r="AO6" s="280"/>
      <c r="AP6" s="173"/>
      <c r="AQ6" s="245"/>
      <c r="AR6" s="230"/>
      <c r="AS6" s="5">
        <f>RFQ!J27</f>
        <v>99.219999999999985</v>
      </c>
    </row>
    <row r="7" spans="2:46" ht="32.25" customHeight="1">
      <c r="B7" s="219" t="s">
        <v>615</v>
      </c>
      <c r="C7" s="271">
        <v>283.17</v>
      </c>
      <c r="D7" s="276">
        <v>180</v>
      </c>
      <c r="E7" s="382"/>
      <c r="F7" s="395">
        <f>D7</f>
        <v>180</v>
      </c>
      <c r="G7" s="395"/>
      <c r="H7" s="281" t="s">
        <v>616</v>
      </c>
      <c r="I7" s="238" t="s">
        <v>617</v>
      </c>
      <c r="J7" s="245" t="s">
        <v>608</v>
      </c>
      <c r="K7" s="259" t="s">
        <v>618</v>
      </c>
      <c r="L7" s="261">
        <v>0</v>
      </c>
      <c r="M7" s="225"/>
      <c r="N7" s="382"/>
      <c r="O7" s="382"/>
      <c r="P7" s="228"/>
      <c r="Q7" s="238"/>
      <c r="R7" s="245"/>
      <c r="S7" s="259"/>
      <c r="T7" s="276">
        <v>0</v>
      </c>
      <c r="U7" s="382"/>
      <c r="V7" s="395"/>
      <c r="W7" s="395"/>
      <c r="X7" s="281"/>
      <c r="Y7" s="238"/>
      <c r="Z7" s="245"/>
      <c r="AA7" s="230"/>
      <c r="AB7" s="276">
        <v>0</v>
      </c>
      <c r="AC7" s="291"/>
      <c r="AD7" s="382"/>
      <c r="AE7" s="382"/>
      <c r="AF7" s="281"/>
      <c r="AG7" s="238"/>
      <c r="AH7" s="245"/>
      <c r="AI7" s="230"/>
      <c r="AJ7" s="44">
        <f>D7+L7+T7+AB7</f>
        <v>180</v>
      </c>
      <c r="AK7" s="5">
        <f>C7-D7-L7-T7-AB7</f>
        <v>103.17000000000002</v>
      </c>
      <c r="AL7" s="44">
        <f t="shared" si="0"/>
        <v>180</v>
      </c>
      <c r="AM7" s="276">
        <v>0</v>
      </c>
      <c r="AN7" s="291"/>
      <c r="AO7" s="281"/>
      <c r="AP7" s="238"/>
      <c r="AQ7" s="245"/>
      <c r="AR7" s="230"/>
      <c r="AS7" s="5">
        <f>RFQ!J38</f>
        <v>167.18999999999997</v>
      </c>
      <c r="AT7" s="417"/>
    </row>
    <row r="8" spans="2:46" s="328" customFormat="1" ht="32.25">
      <c r="B8" s="452" t="s">
        <v>619</v>
      </c>
      <c r="C8" s="316">
        <v>500.5</v>
      </c>
      <c r="D8" s="317"/>
      <c r="E8" s="383"/>
      <c r="F8" s="396"/>
      <c r="G8" s="396"/>
      <c r="H8" s="318"/>
      <c r="I8" s="319"/>
      <c r="J8" s="320"/>
      <c r="K8" s="321"/>
      <c r="L8" s="322">
        <v>0</v>
      </c>
      <c r="M8" s="323">
        <v>300</v>
      </c>
      <c r="N8" s="403"/>
      <c r="O8" s="403"/>
      <c r="P8" s="324" t="s">
        <v>620</v>
      </c>
      <c r="Q8" s="319"/>
      <c r="R8" s="320"/>
      <c r="S8" s="325"/>
      <c r="T8" s="326">
        <f>C8-75*5</f>
        <v>125.5</v>
      </c>
      <c r="U8" s="385">
        <f>(75-50)*5</f>
        <v>125</v>
      </c>
      <c r="V8" s="340"/>
      <c r="W8" s="340">
        <f>T8</f>
        <v>125.5</v>
      </c>
      <c r="X8" s="318" t="s">
        <v>621</v>
      </c>
      <c r="Y8" s="324" t="s">
        <v>622</v>
      </c>
      <c r="Z8" s="320"/>
      <c r="AA8" s="321"/>
      <c r="AB8" s="326">
        <f>500-(75*5)</f>
        <v>125</v>
      </c>
      <c r="AC8" s="327"/>
      <c r="AD8" s="385"/>
      <c r="AE8" s="385">
        <f>AB8</f>
        <v>125</v>
      </c>
      <c r="AF8" s="318" t="s">
        <v>623</v>
      </c>
      <c r="AG8" s="324" t="s">
        <v>624</v>
      </c>
      <c r="AH8" s="320"/>
      <c r="AI8" s="321"/>
      <c r="AJ8" s="44">
        <f>D8+L8+T8+AB8</f>
        <v>250.5</v>
      </c>
      <c r="AK8" s="5">
        <f>C8-D8-L8-T8-AB8</f>
        <v>250</v>
      </c>
      <c r="AM8" s="326">
        <v>0</v>
      </c>
      <c r="AN8" s="327"/>
      <c r="AO8" s="373" t="s">
        <v>625</v>
      </c>
      <c r="AP8" s="324" t="s">
        <v>626</v>
      </c>
      <c r="AQ8" s="320"/>
      <c r="AR8" s="321"/>
      <c r="AS8" s="414">
        <f>T8</f>
        <v>125.5</v>
      </c>
    </row>
    <row r="9" spans="2:46" s="328" customFormat="1" ht="64.5" customHeight="1">
      <c r="B9" s="452" t="s">
        <v>627</v>
      </c>
      <c r="C9" s="329">
        <v>2248.6</v>
      </c>
      <c r="D9" s="326">
        <f>'€ train V2.4'!N15</f>
        <v>331.62644376899698</v>
      </c>
      <c r="E9" s="384">
        <v>200</v>
      </c>
      <c r="F9" s="335"/>
      <c r="G9" s="335">
        <f>D9</f>
        <v>331.62644376899698</v>
      </c>
      <c r="H9" s="331" t="s">
        <v>628</v>
      </c>
      <c r="I9" s="332" t="s">
        <v>628</v>
      </c>
      <c r="J9" s="320" t="s">
        <v>629</v>
      </c>
      <c r="K9" s="333" t="s">
        <v>630</v>
      </c>
      <c r="L9" s="334">
        <f>'€ train V2.4'!T15</f>
        <v>0</v>
      </c>
      <c r="M9" s="335">
        <v>200</v>
      </c>
      <c r="N9" s="404"/>
      <c r="O9" s="404"/>
      <c r="P9" s="336" t="s">
        <v>631</v>
      </c>
      <c r="Q9" s="332"/>
      <c r="R9" s="320" t="s">
        <v>629</v>
      </c>
      <c r="S9" s="337"/>
      <c r="T9" s="338" t="s">
        <v>632</v>
      </c>
      <c r="U9" s="384">
        <v>200</v>
      </c>
      <c r="V9" s="335"/>
      <c r="W9" s="335"/>
      <c r="X9" s="331"/>
      <c r="Y9" s="332"/>
      <c r="Z9" s="320"/>
      <c r="AA9" s="333"/>
      <c r="AB9" s="338">
        <f>(181.1+181.3)-((3.4*14*2)+(3.93*14*2))</f>
        <v>157.15999999999997</v>
      </c>
      <c r="AC9" s="330"/>
      <c r="AD9" s="384"/>
      <c r="AE9" s="384">
        <f>AB9</f>
        <v>157.15999999999997</v>
      </c>
      <c r="AF9" s="331" t="s">
        <v>633</v>
      </c>
      <c r="AG9" s="332" t="s">
        <v>634</v>
      </c>
      <c r="AH9" s="320" t="s">
        <v>629</v>
      </c>
      <c r="AI9" s="333" t="s">
        <v>630</v>
      </c>
      <c r="AJ9" s="44">
        <f>D9+L9+AB9</f>
        <v>488.78644376899695</v>
      </c>
      <c r="AK9" s="5">
        <f>C9-D9-L9-AB9</f>
        <v>1759.8135562310031</v>
      </c>
      <c r="AL9" s="371">
        <f>SUM(AJ8:AJ10)+AC10</f>
        <v>991.38644376899697</v>
      </c>
      <c r="AM9" s="338">
        <v>0</v>
      </c>
      <c r="AN9" s="330"/>
      <c r="AO9" s="331" t="s">
        <v>633</v>
      </c>
      <c r="AP9" s="332" t="s">
        <v>634</v>
      </c>
      <c r="AQ9" s="320" t="s">
        <v>629</v>
      </c>
      <c r="AR9" s="333" t="s">
        <v>630</v>
      </c>
      <c r="AS9" s="414">
        <f>'€ train V2.4'!N12+'Compte rendu fin de semaine'!AB9</f>
        <v>458.45787234042552</v>
      </c>
    </row>
    <row r="10" spans="2:46" s="328" customFormat="1" ht="105.75" customHeight="1">
      <c r="B10" s="453" t="s">
        <v>635</v>
      </c>
      <c r="C10" s="329">
        <f>534.6+0.72*12</f>
        <v>543.24</v>
      </c>
      <c r="D10" s="326">
        <v>0</v>
      </c>
      <c r="E10" s="385">
        <v>320</v>
      </c>
      <c r="F10" s="340"/>
      <c r="G10" s="340"/>
      <c r="H10" s="339" t="s">
        <v>636</v>
      </c>
      <c r="I10" s="319" t="s">
        <v>637</v>
      </c>
      <c r="J10" s="320" t="s">
        <v>629</v>
      </c>
      <c r="K10" s="321" t="s">
        <v>638</v>
      </c>
      <c r="L10" s="322">
        <f>C10-(11.47*(12+14)+1.91*12)</f>
        <v>222.09999999999997</v>
      </c>
      <c r="M10" s="340">
        <v>50</v>
      </c>
      <c r="N10" s="405"/>
      <c r="O10" s="405">
        <f>L10</f>
        <v>222.09999999999997</v>
      </c>
      <c r="P10" s="324" t="s">
        <v>639</v>
      </c>
      <c r="Q10" s="319" t="s">
        <v>640</v>
      </c>
      <c r="R10" s="320" t="s">
        <v>629</v>
      </c>
      <c r="S10" s="325" t="s">
        <v>638</v>
      </c>
      <c r="T10" s="326">
        <v>0</v>
      </c>
      <c r="U10" s="385">
        <v>50</v>
      </c>
      <c r="V10" s="340"/>
      <c r="W10" s="340"/>
      <c r="X10" s="341" t="s">
        <v>641</v>
      </c>
      <c r="Y10" s="319" t="s">
        <v>637</v>
      </c>
      <c r="Z10" s="320" t="s">
        <v>629</v>
      </c>
      <c r="AA10" s="321" t="s">
        <v>638</v>
      </c>
      <c r="AB10" s="326">
        <v>0</v>
      </c>
      <c r="AC10" s="327">
        <v>30</v>
      </c>
      <c r="AD10" s="411"/>
      <c r="AE10" s="411"/>
      <c r="AF10" s="341" t="s">
        <v>641</v>
      </c>
      <c r="AG10" s="319"/>
      <c r="AH10" s="320" t="s">
        <v>629</v>
      </c>
      <c r="AI10" s="321" t="s">
        <v>638</v>
      </c>
      <c r="AJ10" s="44">
        <f>D10+L10+T10+AB10</f>
        <v>222.09999999999997</v>
      </c>
      <c r="AK10" s="5">
        <f>C10-D10-L10-T10-AB10</f>
        <v>321.14000000000004</v>
      </c>
      <c r="AM10" s="375">
        <v>0</v>
      </c>
      <c r="AN10" s="327"/>
      <c r="AO10" s="374" t="s">
        <v>642</v>
      </c>
      <c r="AP10" s="319"/>
      <c r="AQ10" s="320" t="s">
        <v>629</v>
      </c>
      <c r="AR10" s="321" t="s">
        <v>638</v>
      </c>
      <c r="AS10" s="414">
        <f>L10</f>
        <v>222.09999999999997</v>
      </c>
    </row>
    <row r="11" spans="2:46" s="356" customFormat="1" ht="64.5" customHeight="1">
      <c r="B11" s="343" t="s">
        <v>643</v>
      </c>
      <c r="C11" s="344">
        <f>data!Q13</f>
        <v>257.58</v>
      </c>
      <c r="D11" s="345">
        <v>0</v>
      </c>
      <c r="E11" s="386">
        <v>30</v>
      </c>
      <c r="F11" s="397"/>
      <c r="G11" s="397"/>
      <c r="H11" s="347" t="s">
        <v>644</v>
      </c>
      <c r="I11" s="348" t="s">
        <v>645</v>
      </c>
      <c r="J11" s="349" t="s">
        <v>629</v>
      </c>
      <c r="K11" s="350" t="s">
        <v>646</v>
      </c>
      <c r="L11" s="351">
        <v>0</v>
      </c>
      <c r="M11" s="352">
        <v>30</v>
      </c>
      <c r="N11" s="406"/>
      <c r="O11" s="406"/>
      <c r="P11" s="344" t="s">
        <v>644</v>
      </c>
      <c r="Q11" s="348"/>
      <c r="R11" s="349" t="s">
        <v>629</v>
      </c>
      <c r="S11" s="353" t="s">
        <v>646</v>
      </c>
      <c r="T11" s="345">
        <v>0</v>
      </c>
      <c r="U11" s="386">
        <v>30</v>
      </c>
      <c r="V11" s="397"/>
      <c r="W11" s="397"/>
      <c r="X11" s="347" t="s">
        <v>644</v>
      </c>
      <c r="Y11" s="348" t="s">
        <v>645</v>
      </c>
      <c r="Z11" s="349" t="s">
        <v>629</v>
      </c>
      <c r="AA11" s="354" t="s">
        <v>646</v>
      </c>
      <c r="AB11" s="345">
        <v>18.59</v>
      </c>
      <c r="AC11" s="346">
        <v>100</v>
      </c>
      <c r="AD11" s="386"/>
      <c r="AE11" s="386">
        <f>AB11</f>
        <v>18.59</v>
      </c>
      <c r="AF11" s="355" t="s">
        <v>647</v>
      </c>
      <c r="AG11" s="348" t="s">
        <v>648</v>
      </c>
      <c r="AH11" s="349" t="s">
        <v>629</v>
      </c>
      <c r="AI11" s="350" t="s">
        <v>646</v>
      </c>
      <c r="AJ11" s="44">
        <f>D11+L11+T11+AB11</f>
        <v>18.59</v>
      </c>
      <c r="AK11" s="5">
        <f>C11-D11-L11-T11-AB11</f>
        <v>238.98999999999998</v>
      </c>
      <c r="AM11" s="345">
        <v>0</v>
      </c>
      <c r="AN11" s="346">
        <v>100</v>
      </c>
      <c r="AO11" s="355" t="s">
        <v>649</v>
      </c>
      <c r="AP11" s="348"/>
      <c r="AQ11" s="349" t="s">
        <v>629</v>
      </c>
      <c r="AR11" s="350" t="s">
        <v>646</v>
      </c>
      <c r="AS11" s="5" t="s">
        <v>650</v>
      </c>
    </row>
    <row r="12" spans="2:46" s="366" customFormat="1" ht="32.25">
      <c r="B12" s="357" t="s">
        <v>132</v>
      </c>
      <c r="C12" s="358">
        <f>'Comparatif Trans+chassis D vs J'!G2</f>
        <v>678.97</v>
      </c>
      <c r="D12" s="359">
        <v>20</v>
      </c>
      <c r="E12" s="387">
        <v>100</v>
      </c>
      <c r="F12" s="364">
        <f>D12</f>
        <v>20</v>
      </c>
      <c r="G12" s="364"/>
      <c r="H12" s="361" t="s">
        <v>651</v>
      </c>
      <c r="I12" s="357" t="s">
        <v>652</v>
      </c>
      <c r="J12" s="362" t="s">
        <v>608</v>
      </c>
      <c r="K12" s="350" t="s">
        <v>653</v>
      </c>
      <c r="L12" s="363">
        <v>0</v>
      </c>
      <c r="M12" s="364">
        <v>200</v>
      </c>
      <c r="N12" s="407"/>
      <c r="O12" s="407"/>
      <c r="P12" s="350" t="s">
        <v>651</v>
      </c>
      <c r="Q12" s="357"/>
      <c r="R12" s="362" t="s">
        <v>608</v>
      </c>
      <c r="S12" s="353" t="s">
        <v>653</v>
      </c>
      <c r="T12" s="365">
        <v>190</v>
      </c>
      <c r="U12" s="387"/>
      <c r="V12" s="364">
        <f>T12</f>
        <v>190</v>
      </c>
      <c r="W12" s="364"/>
      <c r="X12" s="361" t="s">
        <v>651</v>
      </c>
      <c r="Y12" s="357" t="s">
        <v>652</v>
      </c>
      <c r="Z12" s="362" t="s">
        <v>608</v>
      </c>
      <c r="AA12" s="350" t="s">
        <v>653</v>
      </c>
      <c r="AB12" s="365">
        <v>0</v>
      </c>
      <c r="AC12" s="360"/>
      <c r="AD12" s="387"/>
      <c r="AE12" s="387"/>
      <c r="AF12" s="361" t="s">
        <v>651</v>
      </c>
      <c r="AG12" s="357" t="s">
        <v>652</v>
      </c>
      <c r="AH12" s="362" t="s">
        <v>608</v>
      </c>
      <c r="AI12" s="350" t="s">
        <v>653</v>
      </c>
      <c r="AJ12" s="44">
        <f>D12+L12+T12+AB12</f>
        <v>210</v>
      </c>
      <c r="AK12" s="5">
        <f>C12-D12-L12-T12-AB12</f>
        <v>468.97</v>
      </c>
      <c r="AL12" s="372">
        <f>SUM(AJ11:AJ13)+AC11</f>
        <v>408.59000000000003</v>
      </c>
      <c r="AM12" s="365">
        <v>0</v>
      </c>
      <c r="AN12" s="360"/>
      <c r="AO12" s="361" t="s">
        <v>651</v>
      </c>
      <c r="AP12" s="357" t="s">
        <v>652</v>
      </c>
      <c r="AQ12" s="362" t="s">
        <v>608</v>
      </c>
      <c r="AR12" s="350" t="s">
        <v>653</v>
      </c>
      <c r="AS12" s="416">
        <f>'Comparatif Trans+chassis D vs J'!Z1</f>
        <v>470.24</v>
      </c>
    </row>
    <row r="13" spans="2:46" s="366" customFormat="1" ht="45.75">
      <c r="B13" s="357" t="s">
        <v>654</v>
      </c>
      <c r="C13" s="358">
        <f>'Comparatif Transmission D vs J'!G2</f>
        <v>293.01</v>
      </c>
      <c r="D13" s="367">
        <v>80</v>
      </c>
      <c r="E13" s="388"/>
      <c r="F13" s="370">
        <f>D13</f>
        <v>80</v>
      </c>
      <c r="G13" s="370"/>
      <c r="H13" s="361" t="s">
        <v>655</v>
      </c>
      <c r="I13" s="357" t="s">
        <v>656</v>
      </c>
      <c r="J13" s="362" t="s">
        <v>608</v>
      </c>
      <c r="K13" s="350" t="s">
        <v>657</v>
      </c>
      <c r="L13" s="369">
        <v>0</v>
      </c>
      <c r="M13" s="370"/>
      <c r="N13" s="408"/>
      <c r="O13" s="408"/>
      <c r="P13" s="350" t="s">
        <v>655</v>
      </c>
      <c r="Q13" s="357"/>
      <c r="R13" s="362" t="s">
        <v>608</v>
      </c>
      <c r="S13" s="353" t="s">
        <v>657</v>
      </c>
      <c r="T13" s="367">
        <v>0</v>
      </c>
      <c r="U13" s="388"/>
      <c r="V13" s="370"/>
      <c r="W13" s="370"/>
      <c r="X13" s="361" t="s">
        <v>655</v>
      </c>
      <c r="Y13" s="357" t="s">
        <v>656</v>
      </c>
      <c r="Z13" s="362" t="s">
        <v>608</v>
      </c>
      <c r="AA13" s="350" t="s">
        <v>657</v>
      </c>
      <c r="AB13" s="367">
        <v>0</v>
      </c>
      <c r="AC13" s="368"/>
      <c r="AD13" s="388"/>
      <c r="AE13" s="388"/>
      <c r="AF13" s="361" t="s">
        <v>655</v>
      </c>
      <c r="AG13" s="357" t="s">
        <v>656</v>
      </c>
      <c r="AH13" s="362" t="s">
        <v>608</v>
      </c>
      <c r="AI13" s="350" t="s">
        <v>657</v>
      </c>
      <c r="AJ13" s="44">
        <f>D13+L13+T13+AB13</f>
        <v>80</v>
      </c>
      <c r="AK13" s="5">
        <f>C13-D13-L13-T13-AB13</f>
        <v>213.01</v>
      </c>
      <c r="AM13" s="367">
        <v>0</v>
      </c>
      <c r="AN13" s="368"/>
      <c r="AO13" s="361" t="s">
        <v>655</v>
      </c>
      <c r="AP13" s="357" t="s">
        <v>656</v>
      </c>
      <c r="AQ13" s="362" t="s">
        <v>608</v>
      </c>
      <c r="AR13" s="350" t="s">
        <v>657</v>
      </c>
      <c r="AS13" s="416">
        <f>'Comparatif Transmission D vs J'!N1</f>
        <v>100.73999999999998</v>
      </c>
    </row>
    <row r="14" spans="2:46" ht="62.25" customHeight="1">
      <c r="B14" s="173" t="s">
        <v>658</v>
      </c>
      <c r="C14" s="272">
        <f>data!I2</f>
        <v>1478.5949000000003</v>
      </c>
      <c r="D14" s="277">
        <v>41.45</v>
      </c>
      <c r="E14" s="389">
        <v>500</v>
      </c>
      <c r="F14" s="226">
        <f>D14</f>
        <v>41.45</v>
      </c>
      <c r="G14" s="226"/>
      <c r="H14" s="282" t="s">
        <v>659</v>
      </c>
      <c r="I14" s="238" t="s">
        <v>660</v>
      </c>
      <c r="J14" s="245" t="s">
        <v>608</v>
      </c>
      <c r="K14" s="230" t="s">
        <v>661</v>
      </c>
      <c r="L14" s="262">
        <v>0</v>
      </c>
      <c r="M14" s="226">
        <v>500</v>
      </c>
      <c r="N14" s="409"/>
      <c r="O14" s="409"/>
      <c r="P14" s="230" t="s">
        <v>662</v>
      </c>
      <c r="Q14" s="238"/>
      <c r="R14" s="245" t="s">
        <v>608</v>
      </c>
      <c r="S14" s="259" t="s">
        <v>661</v>
      </c>
      <c r="T14" s="277">
        <v>0</v>
      </c>
      <c r="U14" s="389">
        <v>500</v>
      </c>
      <c r="V14" s="226"/>
      <c r="W14" s="226"/>
      <c r="X14" s="282" t="s">
        <v>662</v>
      </c>
      <c r="Y14" s="238" t="s">
        <v>660</v>
      </c>
      <c r="Z14" s="245" t="s">
        <v>608</v>
      </c>
      <c r="AA14" s="230" t="s">
        <v>661</v>
      </c>
      <c r="AB14" s="277">
        <v>0</v>
      </c>
      <c r="AC14" s="292">
        <v>500</v>
      </c>
      <c r="AD14" s="389"/>
      <c r="AE14" s="389"/>
      <c r="AF14" s="230" t="s">
        <v>662</v>
      </c>
      <c r="AG14" s="238" t="s">
        <v>660</v>
      </c>
      <c r="AH14" s="245" t="s">
        <v>608</v>
      </c>
      <c r="AI14" s="230" t="s">
        <v>661</v>
      </c>
      <c r="AJ14" s="44">
        <f>D14+L14+T14+AB14</f>
        <v>41.45</v>
      </c>
      <c r="AK14" s="5">
        <f>C14-D14-L14-T14-AB14</f>
        <v>1437.1449000000002</v>
      </c>
      <c r="AL14" s="44">
        <f>AJ14+AC14</f>
        <v>541.45000000000005</v>
      </c>
      <c r="AM14" s="276">
        <f>('Comparatif ensemble moteur'!H4+'Comparatif ensemble moteur'!H5+'Comparatif ensemble moteur'!H6)-('Comparatif ensemble moteur'!N4+'Comparatif ensemble moteur'!N6)</f>
        <v>449.15</v>
      </c>
      <c r="AN14" s="292"/>
      <c r="AO14" s="230" t="s">
        <v>663</v>
      </c>
      <c r="AP14" s="238" t="s">
        <v>660</v>
      </c>
      <c r="AQ14" s="245" t="s">
        <v>608</v>
      </c>
      <c r="AR14" s="230" t="s">
        <v>661</v>
      </c>
      <c r="AS14" s="5">
        <f>'Comparatif ensemble moteur'!N1</f>
        <v>502.74490000000026</v>
      </c>
    </row>
    <row r="15" spans="2:46">
      <c r="B15" s="173" t="s">
        <v>187</v>
      </c>
      <c r="C15" s="228">
        <f>data!G2</f>
        <v>38.56</v>
      </c>
      <c r="D15" s="278">
        <v>0</v>
      </c>
      <c r="E15" s="390"/>
      <c r="F15" s="399">
        <f>SUM(F5:F14)</f>
        <v>970.67000000000007</v>
      </c>
      <c r="G15" s="395">
        <f>SUM(G5:G14)</f>
        <v>331.62644376899698</v>
      </c>
      <c r="H15" s="283" t="s">
        <v>664</v>
      </c>
      <c r="I15" s="47" t="s">
        <v>665</v>
      </c>
      <c r="J15" s="266"/>
      <c r="K15" s="265"/>
      <c r="L15" s="263">
        <v>0</v>
      </c>
      <c r="M15" s="264"/>
      <c r="N15" s="410">
        <f>SUM(N5:N14)</f>
        <v>0</v>
      </c>
      <c r="O15" s="410">
        <f>SUM(O5:O14)</f>
        <v>222.09999999999997</v>
      </c>
      <c r="P15" s="265" t="s">
        <v>664</v>
      </c>
      <c r="Q15" s="47" t="s">
        <v>665</v>
      </c>
      <c r="R15" s="266"/>
      <c r="S15" s="267"/>
      <c r="T15" s="278">
        <v>0</v>
      </c>
      <c r="U15" s="293"/>
      <c r="V15" s="412">
        <f>SUM(V4:V14)</f>
        <v>190</v>
      </c>
      <c r="W15" s="412">
        <f>SUM(W4:W14)</f>
        <v>135.02000000000001</v>
      </c>
      <c r="X15" s="283" t="s">
        <v>664</v>
      </c>
      <c r="Y15" s="47" t="s">
        <v>665</v>
      </c>
      <c r="Z15" s="266"/>
      <c r="AA15" s="265"/>
      <c r="AB15" s="278">
        <v>0</v>
      </c>
      <c r="AC15" s="293"/>
      <c r="AD15" s="390"/>
      <c r="AE15" s="390">
        <f>SUM(AE4:AE14)</f>
        <v>300.74999999999994</v>
      </c>
      <c r="AF15" s="283" t="s">
        <v>664</v>
      </c>
      <c r="AG15" s="47" t="s">
        <v>665</v>
      </c>
      <c r="AH15" s="266"/>
      <c r="AI15" s="265"/>
      <c r="AJ15" s="44">
        <f>D15+L15+T15+AB15</f>
        <v>0</v>
      </c>
      <c r="AK15" s="5">
        <f>C15-D15-L15-T15-AB15</f>
        <v>38.56</v>
      </c>
      <c r="AL15" s="44">
        <f>AJ15</f>
        <v>0</v>
      </c>
      <c r="AM15" s="278">
        <v>0</v>
      </c>
      <c r="AN15" s="293"/>
      <c r="AO15" s="283" t="s">
        <v>664</v>
      </c>
      <c r="AP15" s="47" t="s">
        <v>665</v>
      </c>
      <c r="AQ15" s="266"/>
      <c r="AR15" s="265"/>
      <c r="AS15" s="5">
        <v>0</v>
      </c>
    </row>
    <row r="16" spans="2:46">
      <c r="R16" s="95"/>
      <c r="AS16" s="5"/>
    </row>
    <row r="17" spans="2:45">
      <c r="C17" s="44">
        <f>SUM(C5:C15)</f>
        <v>7256.9049000000005</v>
      </c>
      <c r="D17" s="44">
        <f>SUM(D5:D15)</f>
        <v>1302.2964437689971</v>
      </c>
      <c r="E17" s="44">
        <f>SUM(E5:E15)</f>
        <v>1200</v>
      </c>
      <c r="F17" s="44"/>
      <c r="G17" s="44"/>
      <c r="H17" s="222"/>
      <c r="L17" s="44">
        <f>SUM(L5:L15)</f>
        <v>222.09999999999997</v>
      </c>
      <c r="M17" s="44">
        <f>SUM(M5:M15)</f>
        <v>1330</v>
      </c>
      <c r="N17" s="44"/>
      <c r="O17" s="44"/>
      <c r="P17" s="222"/>
      <c r="R17" s="95"/>
      <c r="T17" s="44">
        <f>SUM(T5:T15)</f>
        <v>325.02</v>
      </c>
      <c r="U17" s="44">
        <f>SUM(U5:U15)</f>
        <v>905</v>
      </c>
      <c r="V17" s="44"/>
      <c r="W17" s="44"/>
      <c r="AB17" s="44">
        <f>SUM(AB5:AB15)</f>
        <v>300.74999999999994</v>
      </c>
      <c r="AC17" s="44">
        <f>SUM(AC5:AC15)</f>
        <v>630</v>
      </c>
      <c r="AD17" s="44"/>
      <c r="AE17" s="44"/>
      <c r="AJ17" s="44">
        <f>SUM(AJ5:AJ15)</f>
        <v>2150.1664437689969</v>
      </c>
      <c r="AK17" s="44">
        <f>SUM(AK5:AK15)</f>
        <v>5106.7384562310035</v>
      </c>
      <c r="AL17" s="44">
        <f>SUM(AL5:AL15)</f>
        <v>2780.1664437689969</v>
      </c>
      <c r="AM17" s="44">
        <f>SUM(AM5:AM15)</f>
        <v>449.15</v>
      </c>
      <c r="AN17" s="44">
        <f>SUM(AN5:AN15)</f>
        <v>100</v>
      </c>
      <c r="AS17" s="5">
        <f>SUM(AS3:AS15)</f>
        <v>2754.792772340425</v>
      </c>
    </row>
    <row r="18" spans="2:45" ht="33.75">
      <c r="C18" s="44"/>
      <c r="L18" s="300" t="s">
        <v>666</v>
      </c>
      <c r="M18" s="300" t="s">
        <v>40</v>
      </c>
      <c r="N18" s="300"/>
      <c r="O18" s="300"/>
      <c r="T18" s="300" t="s">
        <v>666</v>
      </c>
      <c r="U18" s="300" t="s">
        <v>40</v>
      </c>
      <c r="V18" s="300"/>
      <c r="W18" s="300"/>
      <c r="AB18" s="300" t="s">
        <v>666</v>
      </c>
      <c r="AC18" s="300" t="s">
        <v>40</v>
      </c>
      <c r="AD18" s="300"/>
      <c r="AE18" s="300"/>
      <c r="AM18" s="300" t="s">
        <v>666</v>
      </c>
      <c r="AN18" s="300" t="s">
        <v>40</v>
      </c>
    </row>
    <row r="19" spans="2:45" ht="60.75">
      <c r="B19" s="224" t="s">
        <v>667</v>
      </c>
      <c r="C19" s="6" t="s">
        <v>668</v>
      </c>
      <c r="L19" s="342">
        <f>D17+L17</f>
        <v>1524.396443768997</v>
      </c>
      <c r="M19" s="301">
        <f>L19+M17</f>
        <v>2854.396443768997</v>
      </c>
      <c r="N19" s="301"/>
      <c r="O19" s="301"/>
      <c r="T19" s="311">
        <f>L19+T17</f>
        <v>1849.4164437689969</v>
      </c>
      <c r="U19" s="301">
        <f>T19+U17</f>
        <v>2754.4164437689969</v>
      </c>
      <c r="V19" s="301"/>
      <c r="W19" s="301"/>
      <c r="AB19" s="311">
        <f>T19+AB17</f>
        <v>2150.1664437689969</v>
      </c>
      <c r="AC19" s="301">
        <f>AB19+AC17</f>
        <v>2780.1664437689969</v>
      </c>
      <c r="AD19" s="301"/>
      <c r="AE19" s="301"/>
      <c r="AM19" s="311">
        <f>AB19+AM17</f>
        <v>2599.316443768997</v>
      </c>
      <c r="AN19" s="301">
        <f>AM19+AN17</f>
        <v>2699.316443768997</v>
      </c>
    </row>
    <row r="20" spans="2:45">
      <c r="B20" s="210" t="s">
        <v>667</v>
      </c>
      <c r="C20" t="s">
        <v>669</v>
      </c>
    </row>
    <row r="23" spans="2:45">
      <c r="D23" t="s">
        <v>670</v>
      </c>
      <c r="E23" t="s">
        <v>671</v>
      </c>
      <c r="H23" t="s">
        <v>672</v>
      </c>
      <c r="I23" t="s">
        <v>673</v>
      </c>
      <c r="J23" s="95" t="s">
        <v>674</v>
      </c>
    </row>
    <row r="24" spans="2:45">
      <c r="D24">
        <v>11</v>
      </c>
      <c r="E24" s="44">
        <v>0</v>
      </c>
      <c r="F24" s="44"/>
      <c r="G24" s="44"/>
      <c r="H24" s="44">
        <v>0</v>
      </c>
      <c r="I24" s="44">
        <v>4000</v>
      </c>
      <c r="J24" s="125">
        <v>0</v>
      </c>
      <c r="K24" s="44"/>
    </row>
    <row r="25" spans="2:45">
      <c r="D25">
        <v>12</v>
      </c>
      <c r="E25" s="44">
        <f>D17</f>
        <v>1302.2964437689971</v>
      </c>
      <c r="F25" s="44"/>
      <c r="G25" s="44"/>
      <c r="H25" s="44"/>
      <c r="I25" s="44">
        <v>4000</v>
      </c>
      <c r="J25" s="125">
        <f>D9+D6</f>
        <v>430.84644376899701</v>
      </c>
      <c r="K25" s="44"/>
    </row>
    <row r="26" spans="2:45">
      <c r="D26">
        <v>13</v>
      </c>
      <c r="E26" s="44">
        <f>L19</f>
        <v>1524.396443768997</v>
      </c>
      <c r="F26" s="44"/>
      <c r="G26" s="44"/>
      <c r="H26" s="44">
        <f>M19</f>
        <v>2854.396443768997</v>
      </c>
      <c r="I26" s="44">
        <v>4000</v>
      </c>
      <c r="J26" s="125">
        <f>250+J25</f>
        <v>680.84644376899701</v>
      </c>
      <c r="K26" s="44"/>
    </row>
    <row r="27" spans="2:45">
      <c r="D27">
        <v>14</v>
      </c>
      <c r="E27" s="44">
        <f>T19</f>
        <v>1849.4164437689969</v>
      </c>
      <c r="F27" s="44"/>
      <c r="G27" s="44"/>
      <c r="H27" s="44">
        <f>U19</f>
        <v>2754.4164437689969</v>
      </c>
      <c r="I27" s="44">
        <v>4000</v>
      </c>
      <c r="J27" s="125">
        <f>J26</f>
        <v>680.84644376899701</v>
      </c>
      <c r="K27" s="44"/>
    </row>
    <row r="28" spans="2:45">
      <c r="D28">
        <v>15</v>
      </c>
      <c r="E28" s="44">
        <f>AB19</f>
        <v>2150.1664437689969</v>
      </c>
      <c r="F28" s="44"/>
      <c r="G28" s="44"/>
      <c r="H28" s="44">
        <f>AC19</f>
        <v>2780.1664437689969</v>
      </c>
      <c r="I28" s="44">
        <v>4000</v>
      </c>
      <c r="J28" s="125">
        <f t="shared" ref="J28:J30" si="1">J27</f>
        <v>680.84644376899701</v>
      </c>
      <c r="K28" s="44"/>
    </row>
    <row r="29" spans="2:45">
      <c r="D29">
        <v>16</v>
      </c>
      <c r="E29" s="44">
        <f>AM19</f>
        <v>2599.316443768997</v>
      </c>
      <c r="F29" s="44"/>
      <c r="G29" s="44"/>
      <c r="H29" s="44">
        <f>AN19</f>
        <v>2699.316443768997</v>
      </c>
      <c r="I29" s="44">
        <v>4000</v>
      </c>
      <c r="J29" s="125">
        <f t="shared" si="1"/>
        <v>680.84644376899701</v>
      </c>
      <c r="K29" s="44"/>
    </row>
    <row r="30" spans="2:45">
      <c r="D30">
        <v>17</v>
      </c>
      <c r="E30" s="44"/>
      <c r="F30" s="44"/>
      <c r="G30" s="44"/>
      <c r="H30" s="44"/>
      <c r="I30" s="44">
        <v>4000</v>
      </c>
      <c r="J30" s="125"/>
      <c r="K30" s="44"/>
    </row>
    <row r="31" spans="2:45">
      <c r="D31">
        <v>18</v>
      </c>
      <c r="E31" s="44"/>
      <c r="F31" s="44"/>
      <c r="G31" s="44"/>
      <c r="H31" s="44"/>
      <c r="I31" s="44">
        <v>4000</v>
      </c>
      <c r="J31" s="125"/>
      <c r="K31" s="44"/>
    </row>
    <row r="32" spans="2:45">
      <c r="D32">
        <v>19</v>
      </c>
      <c r="E32" s="44"/>
      <c r="F32" s="44"/>
      <c r="G32" s="44"/>
      <c r="H32" s="44"/>
      <c r="I32" s="44">
        <v>4000</v>
      </c>
      <c r="J32" s="125"/>
      <c r="K32" s="44"/>
    </row>
    <row r="33" spans="4:11">
      <c r="D33">
        <v>20</v>
      </c>
      <c r="E33" s="44"/>
      <c r="F33" s="44"/>
      <c r="G33" s="44"/>
      <c r="H33" s="44"/>
      <c r="I33" s="44">
        <v>4000</v>
      </c>
      <c r="J33" s="125"/>
      <c r="K33" s="44"/>
    </row>
    <row r="34" spans="4:11">
      <c r="I34" s="44"/>
    </row>
    <row r="35" spans="4:11">
      <c r="I35" s="44"/>
    </row>
    <row r="36" spans="4:11">
      <c r="I36" s="44"/>
    </row>
  </sheetData>
  <mergeCells count="6">
    <mergeCell ref="AM1:AR1"/>
    <mergeCell ref="B4:C4"/>
    <mergeCell ref="D1:K1"/>
    <mergeCell ref="L1:S1"/>
    <mergeCell ref="T1:AA1"/>
    <mergeCell ref="AB1:AI1"/>
  </mergeCells>
  <pageMargins left="0.25" right="0.25" top="0.75" bottom="0.75" header="0.3" footer="0.3"/>
  <pageSetup paperSize="9" orientation="portrait"/>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46D76-AA95-4073-A3EE-E04F93B71258}">
  <dimension ref="A1"/>
  <sheetViews>
    <sheetView workbookViewId="0">
      <selection activeCell="B1" sqref="B1"/>
    </sheetView>
  </sheetViews>
  <sheetFormatPr defaultRowHeight="15"/>
  <cols>
    <col min="1" max="1" width="21.28515625" bestFit="1" customWidth="1"/>
  </cols>
  <sheetData>
    <row r="1" spans="1:1">
      <c r="A1" t="s">
        <v>675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D53C6-D506-4003-9B1E-7572749692A0}">
  <sheetPr>
    <pageSetUpPr fitToPage="1"/>
  </sheetPr>
  <dimension ref="A1:E16"/>
  <sheetViews>
    <sheetView workbookViewId="0"/>
  </sheetViews>
  <sheetFormatPr defaultColWidth="11.42578125" defaultRowHeight="15"/>
  <cols>
    <col min="1" max="1" width="28.42578125" style="91" customWidth="1"/>
    <col min="2" max="2" width="14.7109375" style="91" customWidth="1"/>
    <col min="3" max="4" width="12.28515625" style="91" customWidth="1"/>
    <col min="5" max="5" width="36.5703125" style="91" bestFit="1" customWidth="1"/>
    <col min="6" max="16384" width="11.42578125" style="91"/>
  </cols>
  <sheetData>
    <row r="1" spans="1:5" ht="26.25">
      <c r="A1" s="469" t="s">
        <v>676</v>
      </c>
      <c r="B1" s="469"/>
      <c r="C1" s="469"/>
      <c r="D1" s="469"/>
    </row>
    <row r="2" spans="1:5" ht="18.75">
      <c r="C2" s="100" t="s">
        <v>677</v>
      </c>
      <c r="D2" s="199" t="s">
        <v>678</v>
      </c>
      <c r="E2" s="200" t="s">
        <v>679</v>
      </c>
    </row>
    <row r="3" spans="1:5">
      <c r="A3" s="467" t="s">
        <v>680</v>
      </c>
      <c r="B3" s="97" t="s">
        <v>681</v>
      </c>
      <c r="C3" s="66">
        <v>24</v>
      </c>
      <c r="D3" s="197">
        <v>2</v>
      </c>
      <c r="E3" s="463" t="s">
        <v>682</v>
      </c>
    </row>
    <row r="4" spans="1:5" ht="15.75" customHeight="1">
      <c r="A4" s="470"/>
      <c r="B4" s="98" t="s">
        <v>683</v>
      </c>
      <c r="C4" s="101">
        <v>28</v>
      </c>
      <c r="D4" s="198">
        <v>28</v>
      </c>
      <c r="E4" s="463"/>
    </row>
    <row r="5" spans="1:5">
      <c r="A5" s="467" t="s">
        <v>684</v>
      </c>
      <c r="B5" s="97" t="s">
        <v>681</v>
      </c>
      <c r="C5" s="66">
        <v>2</v>
      </c>
      <c r="D5" s="197">
        <v>1</v>
      </c>
      <c r="E5" s="466"/>
    </row>
    <row r="6" spans="1:5">
      <c r="A6" s="470"/>
      <c r="B6" s="98" t="s">
        <v>683</v>
      </c>
      <c r="C6" s="101">
        <v>4</v>
      </c>
      <c r="D6" s="198">
        <v>4</v>
      </c>
      <c r="E6" s="465"/>
    </row>
    <row r="7" spans="1:5">
      <c r="A7" s="467" t="s">
        <v>685</v>
      </c>
      <c r="B7" s="97" t="s">
        <v>681</v>
      </c>
      <c r="C7" s="66">
        <v>5</v>
      </c>
      <c r="D7" s="197">
        <v>4</v>
      </c>
      <c r="E7" s="464" t="s">
        <v>686</v>
      </c>
    </row>
    <row r="8" spans="1:5" ht="15.75" customHeight="1">
      <c r="A8" s="470"/>
      <c r="B8" s="98" t="s">
        <v>683</v>
      </c>
      <c r="C8" s="101">
        <v>6</v>
      </c>
      <c r="D8" s="198">
        <v>4</v>
      </c>
      <c r="E8" s="463"/>
    </row>
    <row r="9" spans="1:5">
      <c r="A9" s="467" t="s">
        <v>687</v>
      </c>
      <c r="B9" s="97" t="s">
        <v>681</v>
      </c>
      <c r="C9" s="66">
        <v>16</v>
      </c>
      <c r="D9" s="197">
        <v>12</v>
      </c>
      <c r="E9" s="466"/>
    </row>
    <row r="10" spans="1:5">
      <c r="A10" s="470"/>
      <c r="B10" s="98" t="s">
        <v>683</v>
      </c>
      <c r="C10" s="101">
        <v>32</v>
      </c>
      <c r="D10" s="198">
        <v>24</v>
      </c>
      <c r="E10" s="465"/>
    </row>
    <row r="11" spans="1:5" ht="33" customHeight="1">
      <c r="A11" s="467" t="s">
        <v>43</v>
      </c>
      <c r="B11" s="97" t="s">
        <v>681</v>
      </c>
      <c r="C11" s="66">
        <v>34</v>
      </c>
      <c r="D11" s="197">
        <v>26</v>
      </c>
      <c r="E11" s="464" t="s">
        <v>688</v>
      </c>
    </row>
    <row r="12" spans="1:5" ht="33" customHeight="1">
      <c r="A12" s="470"/>
      <c r="B12" s="98" t="s">
        <v>683</v>
      </c>
      <c r="C12" s="101">
        <v>47</v>
      </c>
      <c r="D12" s="198">
        <v>35</v>
      </c>
      <c r="E12" s="463"/>
    </row>
    <row r="13" spans="1:5">
      <c r="A13" s="467" t="s">
        <v>689</v>
      </c>
      <c r="B13" s="97" t="s">
        <v>681</v>
      </c>
      <c r="C13" s="66">
        <v>2</v>
      </c>
      <c r="D13" s="197">
        <v>1</v>
      </c>
      <c r="E13" s="466"/>
    </row>
    <row r="14" spans="1:5">
      <c r="A14" s="470"/>
      <c r="B14" s="98" t="s">
        <v>683</v>
      </c>
      <c r="C14" s="101">
        <v>17</v>
      </c>
      <c r="D14" s="198">
        <v>12</v>
      </c>
      <c r="E14" s="465"/>
    </row>
    <row r="15" spans="1:5" ht="25.5" customHeight="1">
      <c r="A15" s="467" t="s">
        <v>45</v>
      </c>
      <c r="B15" s="97" t="s">
        <v>681</v>
      </c>
      <c r="C15" s="66">
        <v>2</v>
      </c>
      <c r="D15" s="197">
        <v>4</v>
      </c>
      <c r="E15" s="464" t="s">
        <v>690</v>
      </c>
    </row>
    <row r="16" spans="1:5" ht="25.5" customHeight="1">
      <c r="A16" s="468"/>
      <c r="B16" s="99" t="s">
        <v>683</v>
      </c>
      <c r="C16" s="102">
        <v>26</v>
      </c>
      <c r="D16" s="201">
        <v>39</v>
      </c>
      <c r="E16" s="465"/>
    </row>
  </sheetData>
  <mergeCells count="15">
    <mergeCell ref="A15:A16"/>
    <mergeCell ref="A1:D1"/>
    <mergeCell ref="A3:A4"/>
    <mergeCell ref="A5:A6"/>
    <mergeCell ref="A7:A8"/>
    <mergeCell ref="A9:A10"/>
    <mergeCell ref="A11:A12"/>
    <mergeCell ref="A13:A14"/>
    <mergeCell ref="E3:E4"/>
    <mergeCell ref="E7:E8"/>
    <mergeCell ref="E11:E12"/>
    <mergeCell ref="E15:E16"/>
    <mergeCell ref="E5:E6"/>
    <mergeCell ref="E9:E10"/>
    <mergeCell ref="E13:E14"/>
  </mergeCells>
  <pageMargins left="0.7" right="0.7" top="0.75" bottom="0.75" header="0.3" footer="0.3"/>
  <pageSetup paperSize="9" fitToHeight="0"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86143-78E8-4B8A-A470-4628A3BEEB32}">
  <dimension ref="A1:AC14"/>
  <sheetViews>
    <sheetView workbookViewId="0">
      <selection activeCell="AG18" sqref="AG16:AG18"/>
    </sheetView>
  </sheetViews>
  <sheetFormatPr defaultRowHeight="15"/>
  <cols>
    <col min="2" max="2" width="11" bestFit="1" customWidth="1"/>
    <col min="3" max="3" width="11" customWidth="1"/>
    <col min="4" max="4" width="15.5703125" bestFit="1" customWidth="1"/>
    <col min="5" max="5" width="15.5703125" customWidth="1"/>
    <col min="6" max="6" width="11" bestFit="1" customWidth="1"/>
    <col min="7" max="7" width="18" bestFit="1" customWidth="1"/>
    <col min="8" max="8" width="12.7109375" customWidth="1"/>
    <col min="9" max="9" width="16.5703125" customWidth="1"/>
    <col min="10" max="10" width="14" customWidth="1"/>
    <col min="11" max="11" width="17" style="376" customWidth="1"/>
    <col min="12" max="12" width="9.42578125" style="376" bestFit="1" customWidth="1"/>
  </cols>
  <sheetData>
    <row r="1" spans="1:29">
      <c r="A1" t="s">
        <v>691</v>
      </c>
      <c r="B1" t="s">
        <v>692</v>
      </c>
      <c r="C1" t="s">
        <v>693</v>
      </c>
      <c r="D1" t="s">
        <v>694</v>
      </c>
      <c r="E1" t="s">
        <v>40</v>
      </c>
      <c r="F1" t="s">
        <v>695</v>
      </c>
      <c r="G1" t="s">
        <v>696</v>
      </c>
      <c r="H1" t="s">
        <v>697</v>
      </c>
      <c r="I1" t="s">
        <v>698</v>
      </c>
      <c r="J1" t="s">
        <v>699</v>
      </c>
      <c r="K1" s="376" t="s">
        <v>700</v>
      </c>
      <c r="L1" s="376" t="s">
        <v>701</v>
      </c>
    </row>
    <row r="2" spans="1:29">
      <c r="A2">
        <v>11</v>
      </c>
      <c r="B2" s="44">
        <v>4000</v>
      </c>
      <c r="C2" s="44">
        <f>$H$2-B2</f>
        <v>4877.1399999999994</v>
      </c>
      <c r="D2" s="44"/>
      <c r="E2" s="44"/>
      <c r="F2" s="44"/>
      <c r="G2" s="44">
        <f>F2</f>
        <v>0</v>
      </c>
      <c r="H2" s="44">
        <v>8877.14</v>
      </c>
      <c r="I2" s="44">
        <f>H2</f>
        <v>8877.14</v>
      </c>
      <c r="J2" s="44">
        <f>H2</f>
        <v>8877.14</v>
      </c>
    </row>
    <row r="3" spans="1:29">
      <c r="A3">
        <v>12</v>
      </c>
      <c r="B3" s="44">
        <v>4000</v>
      </c>
      <c r="C3" s="44">
        <f t="shared" ref="C3:C8" si="0">$H$2-B3</f>
        <v>4877.1399999999994</v>
      </c>
      <c r="D3" s="44">
        <v>4000</v>
      </c>
      <c r="E3" s="44"/>
      <c r="F3" s="44">
        <f>'Compte rendu fin de semaine'!D17</f>
        <v>1302.2964437689971</v>
      </c>
      <c r="G3" s="44">
        <f>G2+F3</f>
        <v>1302.2964437689971</v>
      </c>
      <c r="H3" s="44">
        <f>$H$2-G3</f>
        <v>7574.8435562310024</v>
      </c>
      <c r="I3" s="44">
        <f>I2-K3</f>
        <v>7407.9199999999992</v>
      </c>
      <c r="J3" s="44">
        <f>J2-L3</f>
        <v>9044.0635562310017</v>
      </c>
      <c r="K3" s="376">
        <v>1469.22</v>
      </c>
      <c r="L3" s="376">
        <f>F3-K3</f>
        <v>-166.92355623100298</v>
      </c>
    </row>
    <row r="4" spans="1:29">
      <c r="A4">
        <v>13</v>
      </c>
      <c r="B4" s="44">
        <v>4000</v>
      </c>
      <c r="C4" s="44">
        <f t="shared" si="0"/>
        <v>4877.1399999999994</v>
      </c>
      <c r="D4" s="44">
        <v>850</v>
      </c>
      <c r="E4" s="44">
        <f>G4+D4</f>
        <v>2374.396443768997</v>
      </c>
      <c r="F4" s="44">
        <f>'Compte rendu fin de semaine'!L17</f>
        <v>222.09999999999997</v>
      </c>
      <c r="G4" s="44">
        <f t="shared" ref="G4:G7" si="1">G3+F4</f>
        <v>1524.396443768997</v>
      </c>
      <c r="H4" s="44">
        <f>$H$2-G4</f>
        <v>7352.743556231002</v>
      </c>
      <c r="I4" s="44">
        <f>I3-K4</f>
        <v>7407.9199999999992</v>
      </c>
      <c r="J4" s="44">
        <f>J3-L4</f>
        <v>8821.9635562310013</v>
      </c>
      <c r="K4" s="376">
        <v>0</v>
      </c>
      <c r="L4" s="376">
        <f>'Compte rendu fin de semaine'!O15</f>
        <v>222.09999999999997</v>
      </c>
    </row>
    <row r="5" spans="1:29">
      <c r="A5">
        <v>14</v>
      </c>
      <c r="B5" s="44">
        <v>4000</v>
      </c>
      <c r="C5" s="44">
        <f t="shared" si="0"/>
        <v>4877.1399999999994</v>
      </c>
      <c r="D5" s="44">
        <v>905</v>
      </c>
      <c r="E5" s="44">
        <f t="shared" ref="E5:E8" si="2">G5+D5</f>
        <v>2754.4164437689969</v>
      </c>
      <c r="F5" s="44">
        <f>'Compte rendu fin de semaine'!T3</f>
        <v>325.02</v>
      </c>
      <c r="G5" s="44">
        <f t="shared" si="1"/>
        <v>1849.4164437689969</v>
      </c>
      <c r="H5" s="44">
        <f>$H$2-G5</f>
        <v>7027.7235562310025</v>
      </c>
      <c r="I5" s="44">
        <f>I4-K5</f>
        <v>7217.9199999999992</v>
      </c>
      <c r="J5" s="44">
        <f>J4-L5</f>
        <v>8686.9435562310009</v>
      </c>
      <c r="K5" s="376">
        <f>'Compte rendu fin de semaine'!V15</f>
        <v>190</v>
      </c>
      <c r="L5" s="376">
        <f>'Compte rendu fin de semaine'!W15</f>
        <v>135.02000000000001</v>
      </c>
    </row>
    <row r="6" spans="1:29">
      <c r="A6">
        <v>15</v>
      </c>
      <c r="B6" s="44">
        <v>4000</v>
      </c>
      <c r="C6" s="44">
        <f t="shared" si="0"/>
        <v>4877.1399999999994</v>
      </c>
      <c r="D6" s="44">
        <v>480</v>
      </c>
      <c r="E6" s="44">
        <f t="shared" si="2"/>
        <v>2630.1664437689969</v>
      </c>
      <c r="F6" s="44">
        <f>'Compte rendu fin de semaine'!AB3</f>
        <v>300.74999999999994</v>
      </c>
      <c r="G6" s="44">
        <f t="shared" si="1"/>
        <v>2150.1664437689969</v>
      </c>
      <c r="H6" s="44">
        <f>$H$2-G6</f>
        <v>6726.9735562310025</v>
      </c>
      <c r="I6" s="44">
        <f>I5-K6</f>
        <v>7217.9199999999992</v>
      </c>
      <c r="J6" s="44">
        <f>J5-L6</f>
        <v>8386.1935562310009</v>
      </c>
      <c r="K6" s="376">
        <v>0</v>
      </c>
      <c r="L6" s="376">
        <f>'Compte rendu fin de semaine'!AE15</f>
        <v>300.74999999999994</v>
      </c>
    </row>
    <row r="7" spans="1:29">
      <c r="A7">
        <v>16</v>
      </c>
      <c r="B7" s="44">
        <v>4000</v>
      </c>
      <c r="C7" s="44">
        <f t="shared" si="0"/>
        <v>4877.1399999999994</v>
      </c>
      <c r="D7" s="44">
        <v>205</v>
      </c>
      <c r="E7" s="44">
        <f t="shared" si="2"/>
        <v>2355.1664437689969</v>
      </c>
      <c r="F7" s="44">
        <v>0</v>
      </c>
      <c r="G7" s="44">
        <f t="shared" si="1"/>
        <v>2150.1664437689969</v>
      </c>
      <c r="H7" s="44">
        <f>$H$2-G7</f>
        <v>6726.9735562310025</v>
      </c>
      <c r="I7" s="44">
        <f>I6-K7</f>
        <v>7217.9199999999992</v>
      </c>
      <c r="J7" s="44">
        <f>J6-L7</f>
        <v>8386.1935562310009</v>
      </c>
      <c r="K7" s="376">
        <v>0</v>
      </c>
      <c r="L7" s="376">
        <v>0</v>
      </c>
    </row>
    <row r="8" spans="1:29">
      <c r="A8">
        <v>17</v>
      </c>
      <c r="B8" s="44">
        <f>(data!D2+data!E2+data!F2+data!G2+data!I2+600)-'Cost Killing VS Alignement'!C8</f>
        <v>2969.3551000000043</v>
      </c>
      <c r="C8" s="44">
        <v>5500</v>
      </c>
      <c r="D8" s="44">
        <v>205</v>
      </c>
      <c r="E8" s="44"/>
      <c r="F8" s="44"/>
      <c r="G8" s="44"/>
      <c r="H8" s="44"/>
    </row>
    <row r="10" spans="1:29">
      <c r="K10" s="376">
        <f>SUM(K2:K7)</f>
        <v>1659.22</v>
      </c>
      <c r="L10" s="376">
        <f>SUM(L2:L7)</f>
        <v>490.94644376899691</v>
      </c>
      <c r="M10" s="5"/>
      <c r="N10" s="44"/>
    </row>
    <row r="14" spans="1:29">
      <c r="AC14" t="s">
        <v>702</v>
      </c>
    </row>
  </sheetData>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2635-2AAF-42BC-AF9E-72706A7EF00B}">
  <dimension ref="A3:O12"/>
  <sheetViews>
    <sheetView workbookViewId="0">
      <selection activeCell="H6" sqref="H6"/>
    </sheetView>
  </sheetViews>
  <sheetFormatPr defaultRowHeight="15"/>
  <cols>
    <col min="2" max="2" width="13.7109375" bestFit="1" customWidth="1"/>
    <col min="8" max="8" width="57.42578125" customWidth="1"/>
  </cols>
  <sheetData>
    <row r="3" spans="1:15" ht="21">
      <c r="A3" s="475" t="s">
        <v>703</v>
      </c>
      <c r="B3" s="475"/>
      <c r="C3" s="475"/>
      <c r="D3" s="475"/>
      <c r="E3" s="475"/>
      <c r="F3" s="475"/>
      <c r="G3" s="475"/>
      <c r="H3" s="475"/>
      <c r="I3" s="475"/>
      <c r="J3" s="475"/>
      <c r="K3" s="475"/>
      <c r="L3" s="475"/>
      <c r="M3" s="475"/>
      <c r="N3" s="475"/>
      <c r="O3" s="475"/>
    </row>
    <row r="4" spans="1:15">
      <c r="A4" s="476" t="s">
        <v>677</v>
      </c>
      <c r="B4" s="476"/>
      <c r="C4" s="476"/>
      <c r="D4" s="476"/>
      <c r="E4" s="476"/>
      <c r="F4" s="476"/>
      <c r="G4" s="476"/>
      <c r="H4" s="476" t="s">
        <v>704</v>
      </c>
      <c r="I4" s="476"/>
      <c r="J4" s="476"/>
      <c r="K4" s="476"/>
      <c r="L4" s="476"/>
      <c r="M4" s="476"/>
      <c r="N4" s="476"/>
      <c r="O4" s="476"/>
    </row>
    <row r="5" spans="1:15" ht="45.75">
      <c r="A5" s="418" t="s">
        <v>705</v>
      </c>
      <c r="B5" s="418" t="s">
        <v>706</v>
      </c>
      <c r="C5" s="419" t="s">
        <v>707</v>
      </c>
      <c r="D5" s="419" t="s">
        <v>708</v>
      </c>
      <c r="E5" s="418" t="s">
        <v>20</v>
      </c>
      <c r="F5" s="420" t="s">
        <v>709</v>
      </c>
      <c r="G5" s="421" t="s">
        <v>710</v>
      </c>
      <c r="H5" s="418" t="s">
        <v>706</v>
      </c>
      <c r="I5" s="419" t="s">
        <v>711</v>
      </c>
      <c r="J5" s="419" t="s">
        <v>712</v>
      </c>
      <c r="K5" s="419" t="s">
        <v>707</v>
      </c>
      <c r="L5" s="419" t="s">
        <v>708</v>
      </c>
      <c r="M5" s="418" t="s">
        <v>20</v>
      </c>
      <c r="N5" s="420" t="s">
        <v>709</v>
      </c>
      <c r="O5" s="421" t="s">
        <v>710</v>
      </c>
    </row>
    <row r="6" spans="1:15">
      <c r="A6" s="422" t="s">
        <v>103</v>
      </c>
      <c r="B6" s="423" t="s">
        <v>104</v>
      </c>
      <c r="C6" s="423">
        <v>1</v>
      </c>
      <c r="D6" s="173" t="s">
        <v>107</v>
      </c>
      <c r="E6" s="173">
        <v>30</v>
      </c>
      <c r="F6" s="424">
        <v>257.58</v>
      </c>
      <c r="G6" s="237">
        <f>C6*F6</f>
        <v>257.58</v>
      </c>
      <c r="H6" s="238" t="s">
        <v>713</v>
      </c>
      <c r="I6" s="236" t="s">
        <v>714</v>
      </c>
      <c r="J6" s="173" t="s">
        <v>715</v>
      </c>
      <c r="K6" s="173">
        <v>1</v>
      </c>
      <c r="L6" s="173" t="s">
        <v>67</v>
      </c>
      <c r="M6" s="173">
        <v>30</v>
      </c>
      <c r="N6" s="173">
        <v>217.6</v>
      </c>
      <c r="O6" s="173">
        <f>N6*K6</f>
        <v>217.6</v>
      </c>
    </row>
    <row r="7" spans="1:15">
      <c r="A7" s="173">
        <v>100117</v>
      </c>
      <c r="B7" s="173" t="s">
        <v>168</v>
      </c>
      <c r="C7" s="173">
        <v>2</v>
      </c>
      <c r="D7" s="173" t="s">
        <v>134</v>
      </c>
      <c r="E7" s="173">
        <v>60</v>
      </c>
      <c r="F7" s="173">
        <v>29.46</v>
      </c>
      <c r="G7" s="237">
        <f t="shared" ref="G7:G10" si="0">C7*F7</f>
        <v>58.92</v>
      </c>
      <c r="H7" s="173"/>
      <c r="I7" s="173"/>
      <c r="J7" s="173"/>
      <c r="K7" s="173"/>
      <c r="L7" s="173"/>
      <c r="M7" s="173"/>
      <c r="N7" s="173"/>
      <c r="O7" s="173"/>
    </row>
    <row r="8" spans="1:15">
      <c r="A8" s="236" t="s">
        <v>716</v>
      </c>
      <c r="B8" s="173" t="s">
        <v>717</v>
      </c>
      <c r="C8" s="173">
        <v>2</v>
      </c>
      <c r="D8" s="173" t="s">
        <v>107</v>
      </c>
      <c r="E8" s="173">
        <v>60</v>
      </c>
      <c r="F8" s="173">
        <v>108.11</v>
      </c>
      <c r="G8" s="237">
        <f t="shared" si="0"/>
        <v>216.22</v>
      </c>
      <c r="H8" s="173"/>
      <c r="I8" s="173"/>
      <c r="J8" s="173"/>
      <c r="K8" s="173"/>
      <c r="L8" s="173"/>
      <c r="M8" s="173"/>
      <c r="N8" s="173"/>
      <c r="O8" s="173"/>
    </row>
    <row r="9" spans="1:15">
      <c r="A9" s="173"/>
      <c r="B9" s="173"/>
      <c r="C9" s="173"/>
      <c r="D9" s="173"/>
      <c r="E9" s="173"/>
      <c r="F9" s="173"/>
      <c r="G9" s="237">
        <f t="shared" si="0"/>
        <v>0</v>
      </c>
      <c r="H9" s="173"/>
      <c r="I9" s="173"/>
      <c r="J9" s="173"/>
      <c r="K9" s="173"/>
      <c r="L9" s="173"/>
      <c r="M9" s="173"/>
      <c r="N9" s="173"/>
      <c r="O9" s="173"/>
    </row>
    <row r="10" spans="1:15">
      <c r="A10" s="173"/>
      <c r="B10" s="173"/>
      <c r="C10" s="173"/>
      <c r="D10" s="173"/>
      <c r="E10" s="173"/>
      <c r="F10" s="173"/>
      <c r="G10" s="237">
        <f t="shared" si="0"/>
        <v>0</v>
      </c>
      <c r="H10" s="173"/>
      <c r="I10" s="173"/>
      <c r="J10" s="173"/>
      <c r="K10" s="173"/>
      <c r="L10" s="173"/>
      <c r="M10" s="173"/>
      <c r="N10" s="173"/>
      <c r="O10" s="173"/>
    </row>
    <row r="11" spans="1:15">
      <c r="A11" s="477" t="s">
        <v>718</v>
      </c>
      <c r="B11" s="477"/>
      <c r="C11" s="477"/>
      <c r="D11" s="477"/>
      <c r="E11" s="477"/>
      <c r="F11" s="477"/>
      <c r="G11" s="425">
        <f>SUM(G6:G10)</f>
        <v>532.72</v>
      </c>
      <c r="H11" s="477" t="s">
        <v>718</v>
      </c>
      <c r="I11" s="477"/>
      <c r="J11" s="477"/>
      <c r="K11" s="477"/>
      <c r="L11" s="477"/>
      <c r="M11" s="477"/>
      <c r="N11" s="477"/>
      <c r="O11" s="425">
        <f>SUM(O6:O10)</f>
        <v>217.6</v>
      </c>
    </row>
    <row r="12" spans="1:15">
      <c r="A12" s="471" t="s">
        <v>719</v>
      </c>
      <c r="B12" s="471"/>
      <c r="C12" s="471"/>
      <c r="D12" s="471"/>
      <c r="E12" s="471"/>
      <c r="F12" s="471"/>
      <c r="G12" s="471"/>
      <c r="H12" s="472">
        <f>+G11-O11</f>
        <v>315.12</v>
      </c>
      <c r="I12" s="473"/>
      <c r="J12" s="473"/>
      <c r="K12" s="473"/>
      <c r="L12" s="473"/>
      <c r="M12" s="473"/>
      <c r="N12" s="473"/>
      <c r="O12" s="474"/>
    </row>
  </sheetData>
  <mergeCells count="7">
    <mergeCell ref="A12:G12"/>
    <mergeCell ref="H12:O12"/>
    <mergeCell ref="A3:O3"/>
    <mergeCell ref="A4:G4"/>
    <mergeCell ref="H4:O4"/>
    <mergeCell ref="A11:F11"/>
    <mergeCell ref="H11:N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DFA01-9023-4DB0-8825-1027F79BFA46}">
  <dimension ref="A1:R66"/>
  <sheetViews>
    <sheetView showGridLines="0" topLeftCell="B26" workbookViewId="0">
      <selection activeCell="K49" sqref="K49"/>
    </sheetView>
  </sheetViews>
  <sheetFormatPr defaultColWidth="9.140625" defaultRowHeight="15"/>
  <cols>
    <col min="1" max="1" width="18" bestFit="1" customWidth="1"/>
    <col min="2" max="2" width="45.28515625" bestFit="1" customWidth="1"/>
    <col min="3" max="3" width="15" bestFit="1" customWidth="1"/>
    <col min="4" max="4" width="14.85546875" customWidth="1"/>
    <col min="5" max="5" width="14.7109375" customWidth="1"/>
    <col min="6" max="6" width="13.140625" customWidth="1"/>
    <col min="7" max="7" width="9.7109375" customWidth="1"/>
    <col min="8" max="8" width="12.5703125" style="5" bestFit="1" customWidth="1"/>
    <col min="9" max="9" width="12.5703125" style="5" customWidth="1"/>
    <col min="10" max="10" width="28.140625" bestFit="1" customWidth="1"/>
    <col min="11" max="11" width="15" bestFit="1" customWidth="1"/>
    <col min="13" max="13" width="9.140625" customWidth="1"/>
    <col min="14" max="14" width="15.85546875" bestFit="1" customWidth="1"/>
    <col min="16" max="17" width="9.140625" style="5"/>
    <col min="18" max="18" width="10" customWidth="1"/>
  </cols>
  <sheetData>
    <row r="1" spans="1:18" ht="18.75">
      <c r="A1" s="96" t="s">
        <v>720</v>
      </c>
    </row>
    <row r="2" spans="1:18">
      <c r="A2" t="s">
        <v>721</v>
      </c>
    </row>
    <row r="4" spans="1:18" ht="21">
      <c r="A4" s="475" t="s">
        <v>722</v>
      </c>
      <c r="B4" s="475"/>
      <c r="C4" s="475"/>
      <c r="D4" s="475"/>
      <c r="E4" s="475"/>
      <c r="F4" s="475"/>
      <c r="G4" s="475"/>
      <c r="H4" s="475"/>
      <c r="I4" s="475"/>
      <c r="J4" s="475"/>
      <c r="K4" s="475"/>
      <c r="L4" s="475"/>
      <c r="M4" s="475"/>
      <c r="N4" s="475"/>
      <c r="O4" s="475"/>
      <c r="P4" s="475"/>
      <c r="Q4" s="475"/>
    </row>
    <row r="5" spans="1:18">
      <c r="A5" s="476" t="s">
        <v>677</v>
      </c>
      <c r="B5" s="476"/>
      <c r="C5" s="476"/>
      <c r="D5" s="476"/>
      <c r="E5" s="476"/>
      <c r="F5" s="476"/>
      <c r="G5" s="476"/>
      <c r="H5" s="476"/>
      <c r="I5" s="476"/>
      <c r="J5" s="476" t="s">
        <v>723</v>
      </c>
      <c r="K5" s="476"/>
      <c r="L5" s="476"/>
      <c r="M5" s="476"/>
      <c r="N5" s="476"/>
      <c r="O5" s="476"/>
      <c r="P5" s="476"/>
      <c r="Q5" s="476"/>
    </row>
    <row r="6" spans="1:18" ht="45">
      <c r="A6" s="145" t="s">
        <v>705</v>
      </c>
      <c r="B6" s="145" t="s">
        <v>706</v>
      </c>
      <c r="C6" s="146" t="s">
        <v>711</v>
      </c>
      <c r="D6" s="146" t="s">
        <v>712</v>
      </c>
      <c r="E6" s="146" t="s">
        <v>707</v>
      </c>
      <c r="F6" s="146" t="s">
        <v>708</v>
      </c>
      <c r="G6" s="145" t="s">
        <v>20</v>
      </c>
      <c r="H6" s="152" t="s">
        <v>709</v>
      </c>
      <c r="I6" s="154" t="s">
        <v>710</v>
      </c>
      <c r="J6" s="145" t="s">
        <v>706</v>
      </c>
      <c r="K6" s="146" t="s">
        <v>711</v>
      </c>
      <c r="L6" s="146" t="s">
        <v>712</v>
      </c>
      <c r="M6" s="146" t="s">
        <v>707</v>
      </c>
      <c r="N6" s="146" t="s">
        <v>708</v>
      </c>
      <c r="O6" s="145" t="s">
        <v>20</v>
      </c>
      <c r="P6" s="152" t="s">
        <v>709</v>
      </c>
      <c r="Q6" s="154" t="s">
        <v>710</v>
      </c>
      <c r="R6" s="302" t="s">
        <v>724</v>
      </c>
    </row>
    <row r="7" spans="1:18">
      <c r="A7" s="142" t="s">
        <v>71</v>
      </c>
      <c r="B7" s="142" t="s">
        <v>72</v>
      </c>
      <c r="C7" s="142"/>
      <c r="D7" s="142"/>
      <c r="E7" s="142">
        <v>1</v>
      </c>
      <c r="F7" s="142" t="s">
        <v>67</v>
      </c>
      <c r="G7" s="142">
        <v>20</v>
      </c>
      <c r="H7" s="153">
        <v>407.77</v>
      </c>
      <c r="I7" s="153">
        <f>2*H7</f>
        <v>815.54</v>
      </c>
      <c r="J7" s="142" t="s">
        <v>725</v>
      </c>
      <c r="K7" s="142" t="s">
        <v>726</v>
      </c>
      <c r="L7" s="142" t="s">
        <v>727</v>
      </c>
      <c r="M7" s="142">
        <v>2</v>
      </c>
      <c r="N7" s="142" t="s">
        <v>179</v>
      </c>
      <c r="O7" s="142">
        <v>40</v>
      </c>
      <c r="P7" s="153">
        <v>16.3</v>
      </c>
      <c r="Q7" s="153">
        <f t="shared" ref="Q7:Q16" si="0">+P7*M7</f>
        <v>32.6</v>
      </c>
    </row>
    <row r="8" spans="1:18">
      <c r="A8" s="142" t="s">
        <v>71</v>
      </c>
      <c r="B8" s="142" t="s">
        <v>72</v>
      </c>
      <c r="C8" s="142"/>
      <c r="D8" s="142"/>
      <c r="E8" s="142">
        <v>1</v>
      </c>
      <c r="F8" s="142" t="s">
        <v>67</v>
      </c>
      <c r="G8" s="142">
        <v>40</v>
      </c>
      <c r="H8" s="153">
        <v>371.92</v>
      </c>
      <c r="I8" s="153">
        <f>2*H8</f>
        <v>743.84</v>
      </c>
      <c r="J8" s="142" t="s">
        <v>725</v>
      </c>
      <c r="K8" s="142" t="s">
        <v>726</v>
      </c>
      <c r="L8" s="142" t="s">
        <v>727</v>
      </c>
      <c r="M8" s="142">
        <v>2</v>
      </c>
      <c r="N8" s="142" t="s">
        <v>179</v>
      </c>
      <c r="O8" s="142">
        <v>100</v>
      </c>
      <c r="P8" s="153">
        <v>12.92</v>
      </c>
      <c r="Q8" s="153">
        <f t="shared" si="0"/>
        <v>25.84</v>
      </c>
    </row>
    <row r="9" spans="1:18">
      <c r="A9" s="175"/>
      <c r="B9" s="175"/>
      <c r="C9" s="142"/>
      <c r="D9" s="142"/>
      <c r="E9" s="142"/>
      <c r="F9" s="142"/>
      <c r="G9" s="142"/>
      <c r="H9" s="153"/>
      <c r="I9" s="153"/>
      <c r="J9" s="142" t="s">
        <v>728</v>
      </c>
      <c r="K9" s="142" t="s">
        <v>729</v>
      </c>
      <c r="L9" s="142" t="s">
        <v>727</v>
      </c>
      <c r="M9" s="142">
        <v>2</v>
      </c>
      <c r="N9" s="142" t="s">
        <v>179</v>
      </c>
      <c r="O9" s="142">
        <v>40</v>
      </c>
      <c r="P9" s="153">
        <v>18.87</v>
      </c>
      <c r="Q9" s="153">
        <f t="shared" si="0"/>
        <v>37.74</v>
      </c>
    </row>
    <row r="10" spans="1:18">
      <c r="A10" s="173"/>
      <c r="B10" s="173"/>
      <c r="C10" s="174"/>
      <c r="D10" s="142"/>
      <c r="E10" s="142"/>
      <c r="F10" s="142"/>
      <c r="G10" s="142"/>
      <c r="H10" s="153"/>
      <c r="I10" s="153"/>
      <c r="J10" s="142" t="s">
        <v>728</v>
      </c>
      <c r="K10" s="142" t="s">
        <v>729</v>
      </c>
      <c r="L10" s="142" t="s">
        <v>727</v>
      </c>
      <c r="M10" s="142">
        <v>2</v>
      </c>
      <c r="N10" s="142" t="s">
        <v>179</v>
      </c>
      <c r="O10" s="142">
        <v>100</v>
      </c>
      <c r="P10" s="153">
        <v>16.21</v>
      </c>
      <c r="Q10" s="153">
        <f t="shared" si="0"/>
        <v>32.42</v>
      </c>
    </row>
    <row r="11" spans="1:18">
      <c r="A11" s="173"/>
      <c r="B11" s="173"/>
      <c r="C11" s="174"/>
      <c r="D11" s="142"/>
      <c r="E11" s="142"/>
      <c r="F11" s="142"/>
      <c r="G11" s="142"/>
      <c r="H11" s="153"/>
      <c r="I11" s="153"/>
      <c r="J11" s="142" t="s">
        <v>730</v>
      </c>
      <c r="K11" s="142" t="s">
        <v>731</v>
      </c>
      <c r="L11" s="142" t="s">
        <v>727</v>
      </c>
      <c r="M11" s="142">
        <v>2</v>
      </c>
      <c r="N11" s="142" t="s">
        <v>67</v>
      </c>
      <c r="O11" s="142">
        <v>40</v>
      </c>
      <c r="P11" s="153">
        <v>8.8800000000000008</v>
      </c>
      <c r="Q11" s="153">
        <f t="shared" si="0"/>
        <v>17.760000000000002</v>
      </c>
      <c r="R11" s="5">
        <f>5.74*2</f>
        <v>11.48</v>
      </c>
    </row>
    <row r="12" spans="1:18">
      <c r="A12" s="173"/>
      <c r="B12" s="173"/>
      <c r="C12" s="174"/>
      <c r="D12" s="142"/>
      <c r="E12" s="142"/>
      <c r="F12" s="142"/>
      <c r="G12" s="142"/>
      <c r="H12" s="153"/>
      <c r="I12" s="153"/>
      <c r="J12" s="142" t="s">
        <v>730</v>
      </c>
      <c r="K12" s="142" t="s">
        <v>731</v>
      </c>
      <c r="L12" s="142" t="s">
        <v>727</v>
      </c>
      <c r="M12" s="142">
        <v>2</v>
      </c>
      <c r="N12" s="142" t="s">
        <v>67</v>
      </c>
      <c r="O12" s="142">
        <v>100</v>
      </c>
      <c r="P12" s="153">
        <v>7.95</v>
      </c>
      <c r="Q12" s="153">
        <f t="shared" si="0"/>
        <v>15.9</v>
      </c>
      <c r="R12" s="5">
        <v>5.04</v>
      </c>
    </row>
    <row r="13" spans="1:18">
      <c r="A13" s="176"/>
      <c r="B13" s="176"/>
      <c r="C13" s="142"/>
      <c r="D13" s="142"/>
      <c r="E13" s="142"/>
      <c r="F13" s="142"/>
      <c r="G13" s="142"/>
      <c r="H13" s="153"/>
      <c r="I13" s="153"/>
      <c r="J13" s="142" t="s">
        <v>732</v>
      </c>
      <c r="K13" s="142" t="s">
        <v>733</v>
      </c>
      <c r="L13" s="142" t="s">
        <v>715</v>
      </c>
      <c r="M13" s="142">
        <v>1</v>
      </c>
      <c r="N13" s="142" t="s">
        <v>67</v>
      </c>
      <c r="O13" s="142">
        <v>20</v>
      </c>
      <c r="P13" s="153">
        <v>35.17</v>
      </c>
      <c r="Q13" s="153">
        <f>+P13*2</f>
        <v>70.34</v>
      </c>
      <c r="R13" s="5">
        <f>39.7*2</f>
        <v>79.400000000000006</v>
      </c>
    </row>
    <row r="14" spans="1:18">
      <c r="A14" s="142"/>
      <c r="B14" s="142"/>
      <c r="C14" s="142"/>
      <c r="D14" s="142"/>
      <c r="E14" s="142"/>
      <c r="F14" s="142"/>
      <c r="G14" s="142"/>
      <c r="H14" s="153"/>
      <c r="I14" s="153"/>
      <c r="J14" s="142" t="s">
        <v>732</v>
      </c>
      <c r="K14" s="142" t="s">
        <v>733</v>
      </c>
      <c r="L14" s="142" t="s">
        <v>715</v>
      </c>
      <c r="M14" s="142">
        <v>1</v>
      </c>
      <c r="N14" s="142" t="s">
        <v>67</v>
      </c>
      <c r="O14" s="142">
        <v>50</v>
      </c>
      <c r="P14" s="153">
        <v>30.26</v>
      </c>
      <c r="Q14" s="153">
        <f>+P14*2</f>
        <v>60.52</v>
      </c>
      <c r="R14" s="5">
        <v>36.56</v>
      </c>
    </row>
    <row r="15" spans="1:18">
      <c r="A15" s="142"/>
      <c r="B15" s="142"/>
      <c r="C15" s="142"/>
      <c r="D15" s="142"/>
      <c r="E15" s="142"/>
      <c r="F15" s="142"/>
      <c r="G15" s="142"/>
      <c r="H15" s="153"/>
      <c r="I15" s="153"/>
      <c r="J15" s="142" t="s">
        <v>734</v>
      </c>
      <c r="K15" s="142" t="s">
        <v>735</v>
      </c>
      <c r="L15" s="142" t="s">
        <v>727</v>
      </c>
      <c r="M15" s="142">
        <v>2</v>
      </c>
      <c r="N15" s="142" t="s">
        <v>67</v>
      </c>
      <c r="O15" s="142">
        <v>40</v>
      </c>
      <c r="P15" s="153">
        <v>20.100000000000001</v>
      </c>
      <c r="Q15" s="153">
        <f t="shared" si="0"/>
        <v>40.200000000000003</v>
      </c>
      <c r="R15" s="5">
        <f>7.85*2</f>
        <v>15.7</v>
      </c>
    </row>
    <row r="16" spans="1:18">
      <c r="A16" s="142"/>
      <c r="B16" s="142"/>
      <c r="C16" s="142"/>
      <c r="D16" s="142"/>
      <c r="E16" s="142"/>
      <c r="F16" s="142"/>
      <c r="G16" s="142"/>
      <c r="H16" s="153"/>
      <c r="I16" s="153"/>
      <c r="J16" s="142" t="s">
        <v>734</v>
      </c>
      <c r="K16" s="142" t="s">
        <v>735</v>
      </c>
      <c r="L16" s="142" t="s">
        <v>727</v>
      </c>
      <c r="M16" s="142">
        <v>2</v>
      </c>
      <c r="N16" s="142" t="s">
        <v>67</v>
      </c>
      <c r="O16" s="142">
        <v>100</v>
      </c>
      <c r="P16" s="153">
        <v>18.170000000000002</v>
      </c>
      <c r="Q16" s="153">
        <f t="shared" si="0"/>
        <v>36.340000000000003</v>
      </c>
      <c r="R16" s="5">
        <v>6.57</v>
      </c>
    </row>
    <row r="17" spans="1:18">
      <c r="A17" s="142"/>
      <c r="B17" s="142"/>
      <c r="C17" s="142"/>
      <c r="D17" s="142"/>
      <c r="E17" s="142"/>
      <c r="F17" s="142"/>
      <c r="G17" s="142"/>
      <c r="H17" s="153"/>
      <c r="I17" s="153"/>
      <c r="J17" s="142" t="s">
        <v>736</v>
      </c>
      <c r="K17" s="142"/>
      <c r="L17" s="142"/>
      <c r="M17" s="142">
        <v>10</v>
      </c>
      <c r="N17" s="142" t="s">
        <v>173</v>
      </c>
      <c r="O17" s="142">
        <v>200</v>
      </c>
      <c r="P17" s="153">
        <v>0.83</v>
      </c>
      <c r="Q17" s="153">
        <f t="shared" ref="Q17" si="1">+P17*M17</f>
        <v>8.2999999999999989</v>
      </c>
      <c r="R17" s="5"/>
    </row>
    <row r="18" spans="1:18">
      <c r="A18" s="477" t="s">
        <v>718</v>
      </c>
      <c r="B18" s="477"/>
      <c r="C18" s="477"/>
      <c r="D18" s="477"/>
      <c r="E18" s="477"/>
      <c r="F18" s="477"/>
      <c r="G18" s="477"/>
      <c r="H18" s="477"/>
      <c r="I18" s="153">
        <f>+I7</f>
        <v>815.54</v>
      </c>
      <c r="J18" s="477" t="s">
        <v>718</v>
      </c>
      <c r="K18" s="477"/>
      <c r="L18" s="477"/>
      <c r="M18" s="477"/>
      <c r="N18" s="477"/>
      <c r="O18" s="477"/>
      <c r="P18" s="477"/>
      <c r="Q18" s="153">
        <f>+Q7+Q9+Q11+Q13+Q15+Q17</f>
        <v>206.94</v>
      </c>
      <c r="R18" s="5">
        <f>+Q7+Q9+R11+R13+R15+Q17+(200+3*12+8)/20</f>
        <v>197.42000000000002</v>
      </c>
    </row>
    <row r="19" spans="1:18">
      <c r="A19" s="471" t="s">
        <v>719</v>
      </c>
      <c r="B19" s="471"/>
      <c r="C19" s="471"/>
      <c r="D19" s="471"/>
      <c r="E19" s="471"/>
      <c r="F19" s="471"/>
      <c r="G19" s="471"/>
      <c r="H19" s="471"/>
      <c r="I19" s="471"/>
      <c r="J19" s="472">
        <f>I18-Q18</f>
        <v>608.59999999999991</v>
      </c>
      <c r="K19" s="473"/>
      <c r="L19" s="473"/>
      <c r="M19" s="473"/>
      <c r="N19" s="473"/>
      <c r="O19" s="473"/>
      <c r="P19" s="473"/>
      <c r="Q19" s="474"/>
      <c r="R19" s="5">
        <f>Q18-R18</f>
        <v>9.5199999999999818</v>
      </c>
    </row>
    <row r="20" spans="1:18" ht="27.75" customHeight="1">
      <c r="R20" s="5"/>
    </row>
    <row r="21" spans="1:18" ht="21">
      <c r="A21" s="475" t="s">
        <v>737</v>
      </c>
      <c r="B21" s="475"/>
      <c r="C21" s="475"/>
      <c r="D21" s="475"/>
      <c r="E21" s="475"/>
      <c r="F21" s="475"/>
      <c r="G21" s="475"/>
      <c r="H21" s="475"/>
      <c r="I21" s="475"/>
      <c r="J21" s="475"/>
      <c r="K21" s="475"/>
      <c r="L21" s="475"/>
      <c r="M21" s="475"/>
      <c r="N21" s="475"/>
      <c r="O21" s="475"/>
      <c r="P21" s="475"/>
      <c r="Q21" s="475"/>
    </row>
    <row r="22" spans="1:18">
      <c r="A22" s="476" t="s">
        <v>677</v>
      </c>
      <c r="B22" s="476"/>
      <c r="C22" s="476"/>
      <c r="D22" s="476"/>
      <c r="E22" s="476"/>
      <c r="F22" s="476"/>
      <c r="G22" s="476"/>
      <c r="H22" s="476"/>
      <c r="I22" s="476"/>
      <c r="J22" s="476" t="s">
        <v>723</v>
      </c>
      <c r="K22" s="476"/>
      <c r="L22" s="476"/>
      <c r="M22" s="476"/>
      <c r="N22" s="476"/>
      <c r="O22" s="476"/>
      <c r="P22" s="476"/>
      <c r="Q22" s="476"/>
    </row>
    <row r="23" spans="1:18" ht="45">
      <c r="A23" s="145" t="s">
        <v>705</v>
      </c>
      <c r="B23" s="145" t="s">
        <v>706</v>
      </c>
      <c r="C23" s="146" t="s">
        <v>711</v>
      </c>
      <c r="D23" s="146" t="s">
        <v>712</v>
      </c>
      <c r="E23" s="146" t="s">
        <v>707</v>
      </c>
      <c r="F23" s="146" t="s">
        <v>708</v>
      </c>
      <c r="G23" s="145" t="s">
        <v>20</v>
      </c>
      <c r="H23" s="152" t="s">
        <v>709</v>
      </c>
      <c r="I23" s="154" t="s">
        <v>710</v>
      </c>
      <c r="J23" s="145" t="s">
        <v>706</v>
      </c>
      <c r="K23" s="146" t="s">
        <v>711</v>
      </c>
      <c r="L23" s="146" t="s">
        <v>712</v>
      </c>
      <c r="M23" s="146" t="s">
        <v>707</v>
      </c>
      <c r="N23" s="146" t="s">
        <v>708</v>
      </c>
      <c r="O23" s="145" t="s">
        <v>20</v>
      </c>
      <c r="P23" s="152" t="s">
        <v>709</v>
      </c>
      <c r="Q23" s="154" t="s">
        <v>710</v>
      </c>
    </row>
    <row r="24" spans="1:18">
      <c r="A24" s="144" t="s">
        <v>162</v>
      </c>
      <c r="B24" s="142" t="s">
        <v>163</v>
      </c>
      <c r="C24" s="142"/>
      <c r="D24" s="142"/>
      <c r="E24" s="142">
        <v>2</v>
      </c>
      <c r="F24" s="142" t="s">
        <v>67</v>
      </c>
      <c r="G24" s="142">
        <v>20</v>
      </c>
      <c r="H24" s="153">
        <f>69.57-10</f>
        <v>59.569999999999993</v>
      </c>
      <c r="I24" s="153">
        <f>+E24*H24</f>
        <v>119.13999999999999</v>
      </c>
      <c r="J24" s="142" t="s">
        <v>738</v>
      </c>
      <c r="K24" s="142" t="s">
        <v>739</v>
      </c>
      <c r="L24" s="142" t="s">
        <v>727</v>
      </c>
      <c r="M24" s="142">
        <v>2</v>
      </c>
      <c r="N24" s="142" t="s">
        <v>167</v>
      </c>
      <c r="O24" s="142">
        <v>40</v>
      </c>
      <c r="P24" s="153">
        <v>9.9600000000000009</v>
      </c>
      <c r="Q24" s="153">
        <f>+M24*P24</f>
        <v>19.920000000000002</v>
      </c>
    </row>
    <row r="25" spans="1:18">
      <c r="A25" s="142"/>
      <c r="B25" s="142"/>
      <c r="C25" s="142"/>
      <c r="D25" s="142"/>
      <c r="E25" s="142"/>
      <c r="F25" s="142"/>
      <c r="G25" s="142"/>
      <c r="H25" s="153"/>
      <c r="I25" s="153"/>
      <c r="J25" s="142" t="s">
        <v>738</v>
      </c>
      <c r="K25" s="142" t="s">
        <v>739</v>
      </c>
      <c r="L25" s="142" t="s">
        <v>727</v>
      </c>
      <c r="M25" s="142">
        <v>2</v>
      </c>
      <c r="N25" s="142" t="s">
        <v>167</v>
      </c>
      <c r="O25" s="142">
        <v>100</v>
      </c>
      <c r="P25" s="153">
        <v>9.4600000000000009</v>
      </c>
      <c r="Q25" s="153">
        <f>+M25*P25</f>
        <v>18.920000000000002</v>
      </c>
    </row>
    <row r="26" spans="1:18">
      <c r="A26" s="477" t="s">
        <v>718</v>
      </c>
      <c r="B26" s="477"/>
      <c r="C26" s="477"/>
      <c r="D26" s="477"/>
      <c r="E26" s="477"/>
      <c r="F26" s="477"/>
      <c r="G26" s="477"/>
      <c r="H26" s="477"/>
      <c r="I26" s="153">
        <f>+I24</f>
        <v>119.13999999999999</v>
      </c>
      <c r="J26" s="477" t="s">
        <v>718</v>
      </c>
      <c r="K26" s="477"/>
      <c r="L26" s="477"/>
      <c r="M26" s="477"/>
      <c r="N26" s="477"/>
      <c r="O26" s="477"/>
      <c r="P26" s="477"/>
      <c r="Q26" s="153">
        <f>+Q24</f>
        <v>19.920000000000002</v>
      </c>
    </row>
    <row r="27" spans="1:18">
      <c r="A27" s="471" t="s">
        <v>719</v>
      </c>
      <c r="B27" s="471"/>
      <c r="C27" s="471"/>
      <c r="D27" s="471"/>
      <c r="E27" s="471"/>
      <c r="F27" s="471"/>
      <c r="G27" s="471"/>
      <c r="H27" s="471"/>
      <c r="I27" s="471"/>
      <c r="J27" s="472">
        <f>+I26-Q26</f>
        <v>99.219999999999985</v>
      </c>
      <c r="K27" s="473"/>
      <c r="L27" s="473"/>
      <c r="M27" s="473"/>
      <c r="N27" s="473"/>
      <c r="O27" s="473"/>
      <c r="P27" s="473"/>
      <c r="Q27" s="474"/>
    </row>
    <row r="28" spans="1:18" ht="27.75" customHeight="1"/>
    <row r="29" spans="1:18" ht="21">
      <c r="A29" s="475" t="s">
        <v>740</v>
      </c>
      <c r="B29" s="475"/>
      <c r="C29" s="475"/>
      <c r="D29" s="475"/>
      <c r="E29" s="475"/>
      <c r="F29" s="475"/>
      <c r="G29" s="475"/>
      <c r="H29" s="475"/>
      <c r="I29" s="475"/>
      <c r="J29" s="475"/>
      <c r="K29" s="475"/>
      <c r="L29" s="475"/>
      <c r="M29" s="475"/>
      <c r="N29" s="475"/>
      <c r="O29" s="475"/>
      <c r="P29" s="475"/>
      <c r="Q29" s="475"/>
    </row>
    <row r="30" spans="1:18">
      <c r="A30" s="476" t="s">
        <v>677</v>
      </c>
      <c r="B30" s="476"/>
      <c r="C30" s="476"/>
      <c r="D30" s="476"/>
      <c r="E30" s="476"/>
      <c r="F30" s="476"/>
      <c r="G30" s="476"/>
      <c r="H30" s="476"/>
      <c r="I30" s="476"/>
      <c r="J30" s="476" t="s">
        <v>723</v>
      </c>
      <c r="K30" s="476"/>
      <c r="L30" s="476"/>
      <c r="M30" s="476"/>
      <c r="N30" s="476"/>
      <c r="O30" s="476"/>
      <c r="P30" s="476"/>
      <c r="Q30" s="476"/>
    </row>
    <row r="31" spans="1:18" ht="45">
      <c r="A31" s="145" t="s">
        <v>705</v>
      </c>
      <c r="B31" s="145" t="s">
        <v>706</v>
      </c>
      <c r="C31" s="146" t="s">
        <v>711</v>
      </c>
      <c r="D31" s="146" t="s">
        <v>712</v>
      </c>
      <c r="E31" s="146" t="s">
        <v>707</v>
      </c>
      <c r="F31" s="146" t="s">
        <v>708</v>
      </c>
      <c r="G31" s="145" t="s">
        <v>20</v>
      </c>
      <c r="H31" s="152" t="s">
        <v>709</v>
      </c>
      <c r="I31" s="154" t="s">
        <v>710</v>
      </c>
      <c r="J31" s="145" t="s">
        <v>706</v>
      </c>
      <c r="K31" s="146" t="s">
        <v>711</v>
      </c>
      <c r="L31" s="146" t="s">
        <v>712</v>
      </c>
      <c r="M31" s="146" t="s">
        <v>707</v>
      </c>
      <c r="N31" s="146" t="s">
        <v>708</v>
      </c>
      <c r="O31" s="145" t="s">
        <v>20</v>
      </c>
      <c r="P31" s="152" t="s">
        <v>709</v>
      </c>
      <c r="Q31" s="154" t="s">
        <v>710</v>
      </c>
    </row>
    <row r="32" spans="1:18">
      <c r="A32" s="144" t="s">
        <v>198</v>
      </c>
      <c r="B32" s="143" t="s">
        <v>199</v>
      </c>
      <c r="C32" s="142"/>
      <c r="D32" s="142"/>
      <c r="E32" s="142">
        <v>2</v>
      </c>
      <c r="F32" s="142" t="s">
        <v>67</v>
      </c>
      <c r="G32" s="142">
        <v>40</v>
      </c>
      <c r="H32" s="153">
        <v>17.41</v>
      </c>
      <c r="I32" s="153">
        <f>+H32</f>
        <v>17.41</v>
      </c>
      <c r="J32" s="142" t="s">
        <v>741</v>
      </c>
      <c r="K32" s="142" t="s">
        <v>742</v>
      </c>
      <c r="L32" s="142" t="s">
        <v>727</v>
      </c>
      <c r="M32" s="142">
        <v>2</v>
      </c>
      <c r="N32" s="142" t="s">
        <v>67</v>
      </c>
      <c r="O32" s="142">
        <v>20</v>
      </c>
      <c r="P32" s="153">
        <v>28.86</v>
      </c>
      <c r="Q32" s="153">
        <f>+M32*P32</f>
        <v>57.72</v>
      </c>
    </row>
    <row r="33" spans="1:17">
      <c r="A33" s="144" t="s">
        <v>270</v>
      </c>
      <c r="B33" s="143" t="s">
        <v>271</v>
      </c>
      <c r="C33" s="142"/>
      <c r="D33" s="142"/>
      <c r="E33" s="142">
        <v>1</v>
      </c>
      <c r="F33" s="142" t="s">
        <v>67</v>
      </c>
      <c r="G33" s="142">
        <v>20</v>
      </c>
      <c r="H33" s="153">
        <v>20.41</v>
      </c>
      <c r="I33" s="153">
        <f>+E33*H33</f>
        <v>20.41</v>
      </c>
      <c r="J33" s="142" t="s">
        <v>743</v>
      </c>
      <c r="K33" s="142" t="s">
        <v>744</v>
      </c>
      <c r="L33" s="142" t="s">
        <v>727</v>
      </c>
      <c r="M33" s="142">
        <v>2</v>
      </c>
      <c r="N33" s="142" t="s">
        <v>67</v>
      </c>
      <c r="O33" s="142">
        <v>20</v>
      </c>
      <c r="P33" s="153">
        <v>29.13</v>
      </c>
      <c r="Q33" s="153">
        <f t="shared" ref="Q33:Q36" si="2">+M33*P33</f>
        <v>58.26</v>
      </c>
    </row>
    <row r="34" spans="1:17">
      <c r="A34" s="144" t="s">
        <v>145</v>
      </c>
      <c r="B34" s="143" t="s">
        <v>146</v>
      </c>
      <c r="C34" s="142"/>
      <c r="D34" s="142"/>
      <c r="E34" s="142">
        <v>1</v>
      </c>
      <c r="F34" s="142" t="s">
        <v>67</v>
      </c>
      <c r="G34" s="142">
        <v>20</v>
      </c>
      <c r="H34" s="153">
        <v>112.47</v>
      </c>
      <c r="I34" s="153">
        <f>+E34*H34</f>
        <v>112.47</v>
      </c>
      <c r="J34" s="142" t="s">
        <v>741</v>
      </c>
      <c r="K34" s="142" t="s">
        <v>742</v>
      </c>
      <c r="L34" s="142" t="s">
        <v>727</v>
      </c>
      <c r="M34" s="142">
        <v>2</v>
      </c>
      <c r="N34" s="142" t="s">
        <v>67</v>
      </c>
      <c r="O34" s="142">
        <v>50</v>
      </c>
      <c r="P34" s="153">
        <v>24.78</v>
      </c>
      <c r="Q34" s="153">
        <f t="shared" si="2"/>
        <v>49.56</v>
      </c>
    </row>
    <row r="35" spans="1:17">
      <c r="A35" s="144" t="s">
        <v>267</v>
      </c>
      <c r="B35" s="143" t="s">
        <v>268</v>
      </c>
      <c r="C35" s="142"/>
      <c r="D35" s="142"/>
      <c r="E35" s="142">
        <v>1</v>
      </c>
      <c r="F35" s="142" t="s">
        <v>67</v>
      </c>
      <c r="G35" s="142">
        <v>20</v>
      </c>
      <c r="H35" s="153">
        <v>20.41</v>
      </c>
      <c r="I35" s="153">
        <f>+E35*H35</f>
        <v>20.41</v>
      </c>
      <c r="J35" s="142" t="s">
        <v>743</v>
      </c>
      <c r="K35" s="142" t="s">
        <v>744</v>
      </c>
      <c r="L35" s="142" t="s">
        <v>727</v>
      </c>
      <c r="M35" s="142">
        <v>2</v>
      </c>
      <c r="N35" s="142" t="s">
        <v>67</v>
      </c>
      <c r="O35" s="142">
        <v>50</v>
      </c>
      <c r="P35" s="153">
        <v>25.05</v>
      </c>
      <c r="Q35" s="153">
        <f>+M35*P35</f>
        <v>50.1</v>
      </c>
    </row>
    <row r="36" spans="1:17">
      <c r="A36" s="144" t="s">
        <v>140</v>
      </c>
      <c r="B36" s="142" t="s">
        <v>141</v>
      </c>
      <c r="C36" s="142"/>
      <c r="D36" s="142"/>
      <c r="E36" s="142">
        <v>1</v>
      </c>
      <c r="F36" s="142" t="s">
        <v>67</v>
      </c>
      <c r="G36" s="142">
        <v>20</v>
      </c>
      <c r="H36" s="153">
        <v>112.47</v>
      </c>
      <c r="I36" s="153">
        <f>+E36*H36</f>
        <v>112.47</v>
      </c>
      <c r="J36" s="142"/>
      <c r="K36" s="142"/>
      <c r="L36" s="142"/>
      <c r="M36" s="142"/>
      <c r="N36" s="142"/>
      <c r="O36" s="142"/>
      <c r="P36" s="153"/>
      <c r="Q36" s="153"/>
    </row>
    <row r="37" spans="1:17">
      <c r="A37" s="477" t="s">
        <v>718</v>
      </c>
      <c r="B37" s="477"/>
      <c r="C37" s="477"/>
      <c r="D37" s="477"/>
      <c r="E37" s="477"/>
      <c r="F37" s="477"/>
      <c r="G37" s="477"/>
      <c r="H37" s="477"/>
      <c r="I37" s="153">
        <f>SUM(I32:I36)</f>
        <v>283.16999999999996</v>
      </c>
      <c r="J37" s="477" t="s">
        <v>718</v>
      </c>
      <c r="K37" s="477"/>
      <c r="L37" s="477"/>
      <c r="M37" s="477"/>
      <c r="N37" s="477"/>
      <c r="O37" s="477"/>
      <c r="P37" s="477"/>
      <c r="Q37" s="153">
        <f>+Q32+Q33</f>
        <v>115.97999999999999</v>
      </c>
    </row>
    <row r="38" spans="1:17">
      <c r="A38" s="471" t="s">
        <v>719</v>
      </c>
      <c r="B38" s="471"/>
      <c r="C38" s="471"/>
      <c r="D38" s="471"/>
      <c r="E38" s="471"/>
      <c r="F38" s="471"/>
      <c r="G38" s="471"/>
      <c r="H38" s="471"/>
      <c r="I38" s="471"/>
      <c r="J38" s="472">
        <f>I37-Q37</f>
        <v>167.18999999999997</v>
      </c>
      <c r="K38" s="473"/>
      <c r="L38" s="473"/>
      <c r="M38" s="473"/>
      <c r="N38" s="473"/>
      <c r="O38" s="473"/>
      <c r="P38" s="473"/>
      <c r="Q38" s="474"/>
    </row>
    <row r="39" spans="1:17" ht="27.75" customHeight="1"/>
    <row r="40" spans="1:17" ht="21">
      <c r="A40" s="475" t="s">
        <v>745</v>
      </c>
      <c r="B40" s="475"/>
      <c r="C40" s="475"/>
      <c r="D40" s="475"/>
      <c r="E40" s="475"/>
      <c r="F40" s="475"/>
      <c r="G40" s="475"/>
      <c r="H40" s="475"/>
      <c r="I40" s="475"/>
      <c r="J40" s="475"/>
      <c r="K40" s="475"/>
      <c r="L40" s="475"/>
      <c r="M40" s="475"/>
      <c r="N40" s="475"/>
      <c r="O40" s="475"/>
      <c r="P40" s="475"/>
      <c r="Q40" s="475"/>
    </row>
    <row r="41" spans="1:17">
      <c r="A41" s="476" t="s">
        <v>677</v>
      </c>
      <c r="B41" s="476"/>
      <c r="C41" s="476"/>
      <c r="D41" s="476"/>
      <c r="E41" s="476"/>
      <c r="F41" s="476"/>
      <c r="G41" s="476"/>
      <c r="H41" s="476"/>
      <c r="I41" s="476"/>
      <c r="J41" s="476" t="s">
        <v>704</v>
      </c>
      <c r="K41" s="476"/>
      <c r="L41" s="476"/>
      <c r="M41" s="476"/>
      <c r="N41" s="476"/>
      <c r="O41" s="476"/>
      <c r="P41" s="476"/>
      <c r="Q41" s="476"/>
    </row>
    <row r="42" spans="1:17" ht="45">
      <c r="A42" s="145" t="s">
        <v>705</v>
      </c>
      <c r="B42" s="145" t="s">
        <v>706</v>
      </c>
      <c r="C42" s="146" t="s">
        <v>711</v>
      </c>
      <c r="D42" s="146" t="s">
        <v>712</v>
      </c>
      <c r="E42" s="146" t="s">
        <v>707</v>
      </c>
      <c r="F42" s="146" t="s">
        <v>708</v>
      </c>
      <c r="G42" s="145" t="s">
        <v>20</v>
      </c>
      <c r="H42" s="152" t="s">
        <v>709</v>
      </c>
      <c r="I42" s="154" t="s">
        <v>710</v>
      </c>
      <c r="J42" s="145" t="s">
        <v>706</v>
      </c>
      <c r="K42" s="146" t="s">
        <v>711</v>
      </c>
      <c r="L42" s="146" t="s">
        <v>712</v>
      </c>
      <c r="M42" s="146" t="s">
        <v>707</v>
      </c>
      <c r="N42" s="146" t="s">
        <v>708</v>
      </c>
      <c r="O42" s="145" t="s">
        <v>20</v>
      </c>
      <c r="P42" s="152" t="s">
        <v>709</v>
      </c>
      <c r="Q42" s="154" t="s">
        <v>710</v>
      </c>
    </row>
    <row r="43" spans="1:17">
      <c r="A43" s="144" t="s">
        <v>223</v>
      </c>
      <c r="B43" s="142" t="s">
        <v>224</v>
      </c>
      <c r="C43" s="142" t="s">
        <v>746</v>
      </c>
      <c r="D43" s="142" t="s">
        <v>747</v>
      </c>
      <c r="E43" s="142">
        <v>1</v>
      </c>
      <c r="F43" s="142" t="s">
        <v>61</v>
      </c>
      <c r="G43" s="142">
        <v>20</v>
      </c>
      <c r="H43" s="153">
        <v>18.5</v>
      </c>
      <c r="I43" s="153">
        <f>+E43*H43</f>
        <v>18.5</v>
      </c>
      <c r="J43" s="142" t="s">
        <v>224</v>
      </c>
      <c r="K43" s="142" t="s">
        <v>748</v>
      </c>
      <c r="L43" s="142" t="s">
        <v>727</v>
      </c>
      <c r="M43" s="142">
        <v>1</v>
      </c>
      <c r="N43" s="142" t="s">
        <v>61</v>
      </c>
      <c r="O43" s="142">
        <v>20</v>
      </c>
      <c r="P43" s="153"/>
      <c r="Q43" s="153">
        <f>+P43</f>
        <v>0</v>
      </c>
    </row>
    <row r="44" spans="1:17">
      <c r="A44" s="144" t="s">
        <v>100</v>
      </c>
      <c r="B44" s="142" t="s">
        <v>101</v>
      </c>
      <c r="C44" s="142" t="s">
        <v>749</v>
      </c>
      <c r="D44" s="142" t="s">
        <v>715</v>
      </c>
      <c r="E44" s="142">
        <v>16</v>
      </c>
      <c r="F44" s="142" t="s">
        <v>61</v>
      </c>
      <c r="G44" s="142">
        <v>320</v>
      </c>
      <c r="H44" s="153">
        <v>16.5</v>
      </c>
      <c r="I44" s="153">
        <f>+H44</f>
        <v>16.5</v>
      </c>
      <c r="J44" s="142"/>
      <c r="K44" s="142"/>
      <c r="L44" s="142"/>
      <c r="M44" s="142"/>
      <c r="N44" s="142"/>
      <c r="O44" s="142"/>
      <c r="P44" s="153"/>
      <c r="Q44" s="153"/>
    </row>
    <row r="45" spans="1:17">
      <c r="A45" s="477" t="s">
        <v>718</v>
      </c>
      <c r="B45" s="477"/>
      <c r="C45" s="477"/>
      <c r="D45" s="477"/>
      <c r="E45" s="477"/>
      <c r="F45" s="477"/>
      <c r="G45" s="477"/>
      <c r="H45" s="477"/>
      <c r="I45" s="153">
        <f>+I43+I44</f>
        <v>35</v>
      </c>
      <c r="J45" s="477" t="s">
        <v>718</v>
      </c>
      <c r="K45" s="477"/>
      <c r="L45" s="477"/>
      <c r="M45" s="477"/>
      <c r="N45" s="477"/>
      <c r="O45" s="477"/>
      <c r="P45" s="477"/>
      <c r="Q45" s="153">
        <f>+Q43</f>
        <v>0</v>
      </c>
    </row>
    <row r="46" spans="1:17">
      <c r="A46" s="471" t="s">
        <v>719</v>
      </c>
      <c r="B46" s="471"/>
      <c r="C46" s="471"/>
      <c r="D46" s="471"/>
      <c r="E46" s="471"/>
      <c r="F46" s="471"/>
      <c r="G46" s="471"/>
      <c r="H46" s="471"/>
      <c r="I46" s="471"/>
      <c r="J46" s="472"/>
      <c r="K46" s="473"/>
      <c r="L46" s="473"/>
      <c r="M46" s="473"/>
      <c r="N46" s="473"/>
      <c r="O46" s="473"/>
      <c r="P46" s="473"/>
      <c r="Q46" s="474"/>
    </row>
    <row r="64" spans="1:2">
      <c r="A64" s="142"/>
      <c r="B64" s="142"/>
    </row>
    <row r="65" spans="1:2">
      <c r="A65" s="142"/>
      <c r="B65" s="142"/>
    </row>
    <row r="66" spans="1:2">
      <c r="A66" s="142"/>
      <c r="B66" s="142"/>
    </row>
  </sheetData>
  <mergeCells count="28">
    <mergeCell ref="A45:H45"/>
    <mergeCell ref="J45:P45"/>
    <mergeCell ref="A4:Q4"/>
    <mergeCell ref="A5:I5"/>
    <mergeCell ref="A18:H18"/>
    <mergeCell ref="J18:P18"/>
    <mergeCell ref="J26:P26"/>
    <mergeCell ref="A21:Q21"/>
    <mergeCell ref="A22:I22"/>
    <mergeCell ref="J22:Q22"/>
    <mergeCell ref="A26:H26"/>
    <mergeCell ref="J5:Q5"/>
    <mergeCell ref="A46:I46"/>
    <mergeCell ref="J46:Q46"/>
    <mergeCell ref="A27:I27"/>
    <mergeCell ref="J27:Q27"/>
    <mergeCell ref="A19:I19"/>
    <mergeCell ref="J19:Q19"/>
    <mergeCell ref="A38:I38"/>
    <mergeCell ref="J38:Q38"/>
    <mergeCell ref="A29:Q29"/>
    <mergeCell ref="A30:I30"/>
    <mergeCell ref="J30:Q30"/>
    <mergeCell ref="A37:H37"/>
    <mergeCell ref="J37:P37"/>
    <mergeCell ref="A40:Q40"/>
    <mergeCell ref="A41:I41"/>
    <mergeCell ref="J41:Q4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8CE79-D32B-4810-B160-EF0D7AE2E579}">
  <sheetPr>
    <pageSetUpPr fitToPage="1"/>
  </sheetPr>
  <dimension ref="A1:AA84"/>
  <sheetViews>
    <sheetView zoomScale="115" zoomScaleNormal="115" workbookViewId="0">
      <selection activeCell="P2" sqref="P2:S2"/>
    </sheetView>
  </sheetViews>
  <sheetFormatPr defaultColWidth="11.42578125" defaultRowHeight="15"/>
  <cols>
    <col min="1" max="1" width="28.42578125" style="91" customWidth="1"/>
    <col min="2" max="2" width="14.7109375" style="91" customWidth="1"/>
    <col min="3" max="3" width="15.7109375" style="91" customWidth="1"/>
    <col min="4" max="4" width="45.7109375" style="91" customWidth="1"/>
    <col min="5" max="5" width="5.7109375" style="91" customWidth="1"/>
    <col min="6" max="8" width="10.7109375" style="91" customWidth="1"/>
    <col min="9" max="9" width="36.5703125" style="91" bestFit="1" customWidth="1"/>
    <col min="10" max="10" width="15.7109375" style="91" hidden="1" customWidth="1"/>
    <col min="11" max="11" width="45.7109375" style="91" hidden="1" customWidth="1"/>
    <col min="12" max="12" width="5.7109375" style="91" hidden="1" customWidth="1"/>
    <col min="13" max="15" width="10.7109375" style="91" hidden="1" customWidth="1"/>
    <col min="16" max="16" width="15" style="91" customWidth="1"/>
    <col min="17" max="17" width="20.140625" style="91" customWidth="1"/>
    <col min="18" max="18" width="3.28515625" style="91" bestFit="1" customWidth="1"/>
    <col min="19" max="20" width="11.42578125" style="91"/>
    <col min="21" max="21" width="12.28515625" style="91" bestFit="1" customWidth="1"/>
    <col min="22" max="22" width="9" style="91" customWidth="1"/>
    <col min="23" max="23" width="18.5703125" style="91" bestFit="1" customWidth="1"/>
    <col min="24" max="24" width="2.28515625" style="91" bestFit="1" customWidth="1"/>
    <col min="25" max="16384" width="11.42578125" style="91"/>
  </cols>
  <sheetData>
    <row r="1" spans="1:27" ht="26.25">
      <c r="A1" s="469" t="s">
        <v>750</v>
      </c>
      <c r="B1" s="469"/>
      <c r="C1" s="469"/>
      <c r="D1" s="469"/>
      <c r="E1" s="469"/>
      <c r="F1" s="469"/>
      <c r="G1" s="469"/>
      <c r="H1" s="469"/>
      <c r="I1" s="156"/>
      <c r="U1" s="446">
        <f>T2/G2-1</f>
        <v>-0.28884799305830366</v>
      </c>
    </row>
    <row r="2" spans="1:27" ht="47.25">
      <c r="C2" s="487" t="s">
        <v>677</v>
      </c>
      <c r="D2" s="488"/>
      <c r="E2" s="488"/>
      <c r="F2" s="488"/>
      <c r="G2" s="489">
        <f>C24+C27+C32+C63+C72+C78+C84</f>
        <v>2097.4700000000003</v>
      </c>
      <c r="H2" s="490"/>
      <c r="I2" s="202" t="s">
        <v>751</v>
      </c>
      <c r="J2" s="491" t="s">
        <v>752</v>
      </c>
      <c r="K2" s="492"/>
      <c r="L2" s="492"/>
      <c r="M2" s="492"/>
      <c r="N2" s="493">
        <f>J24+J27+J32+J63+J72+J78+J84</f>
        <v>311.61</v>
      </c>
      <c r="O2" s="494"/>
      <c r="P2" s="491" t="s">
        <v>753</v>
      </c>
      <c r="Q2" s="492"/>
      <c r="R2" s="492"/>
      <c r="S2" s="492"/>
      <c r="T2" s="493">
        <f>P24+P27+P32+U63+P72+P78+P84</f>
        <v>1491.62</v>
      </c>
      <c r="U2" s="494"/>
      <c r="V2" s="491" t="s">
        <v>754</v>
      </c>
      <c r="W2" s="492"/>
      <c r="X2" s="492"/>
      <c r="Y2" s="492"/>
      <c r="Z2" s="493">
        <f>V24+V27+V32+V63+V72+V78+V84</f>
        <v>145.62</v>
      </c>
      <c r="AA2" s="494"/>
    </row>
    <row r="3" spans="1:27" ht="15.75">
      <c r="A3" s="478" t="s">
        <v>755</v>
      </c>
      <c r="B3" s="481" t="s">
        <v>756</v>
      </c>
      <c r="C3" s="136" t="s">
        <v>757</v>
      </c>
      <c r="D3" s="120" t="s">
        <v>204</v>
      </c>
      <c r="E3" s="112">
        <v>1</v>
      </c>
      <c r="F3" s="120" t="s">
        <v>758</v>
      </c>
      <c r="G3" s="130">
        <v>34</v>
      </c>
      <c r="H3" s="131" t="s">
        <v>759</v>
      </c>
      <c r="I3" s="120" t="s">
        <v>760</v>
      </c>
      <c r="J3" s="435" t="s">
        <v>761</v>
      </c>
      <c r="K3" s="436" t="s">
        <v>762</v>
      </c>
      <c r="L3" s="112">
        <v>1</v>
      </c>
      <c r="M3" s="120" t="s">
        <v>758</v>
      </c>
      <c r="N3" s="438">
        <v>29.48</v>
      </c>
      <c r="O3" s="131" t="s">
        <v>759</v>
      </c>
      <c r="P3" s="435" t="s">
        <v>761</v>
      </c>
      <c r="Q3" s="447" t="s">
        <v>762</v>
      </c>
      <c r="R3" s="112">
        <v>1</v>
      </c>
      <c r="S3" s="120" t="s">
        <v>758</v>
      </c>
      <c r="T3" s="438">
        <v>20.37</v>
      </c>
      <c r="U3" s="131" t="s">
        <v>759</v>
      </c>
      <c r="V3" s="435" t="s">
        <v>761</v>
      </c>
      <c r="W3" s="436" t="s">
        <v>762</v>
      </c>
      <c r="X3" s="112">
        <v>1</v>
      </c>
      <c r="Y3" s="120" t="s">
        <v>758</v>
      </c>
      <c r="Z3" s="438">
        <v>12.68</v>
      </c>
      <c r="AA3" s="131" t="s">
        <v>759</v>
      </c>
    </row>
    <row r="4" spans="1:27" ht="15.75">
      <c r="A4" s="479"/>
      <c r="B4" s="482"/>
      <c r="C4" s="139" t="s">
        <v>763</v>
      </c>
      <c r="D4" s="140" t="s">
        <v>191</v>
      </c>
      <c r="E4" s="141">
        <v>1</v>
      </c>
      <c r="F4" s="121" t="s">
        <v>758</v>
      </c>
      <c r="G4" s="129">
        <v>36</v>
      </c>
      <c r="H4" s="134" t="s">
        <v>759</v>
      </c>
      <c r="I4" s="120" t="s">
        <v>760</v>
      </c>
      <c r="J4" s="431" t="s">
        <v>764</v>
      </c>
      <c r="K4" s="437" t="s">
        <v>765</v>
      </c>
      <c r="L4" s="112">
        <v>1</v>
      </c>
      <c r="M4" s="121" t="s">
        <v>758</v>
      </c>
      <c r="N4" s="433">
        <v>15.92</v>
      </c>
      <c r="O4" s="134" t="s">
        <v>759</v>
      </c>
      <c r="P4" s="431" t="s">
        <v>764</v>
      </c>
      <c r="Q4" s="448" t="s">
        <v>765</v>
      </c>
      <c r="R4" s="112">
        <v>1</v>
      </c>
      <c r="S4" s="121" t="s">
        <v>758</v>
      </c>
      <c r="T4" s="433">
        <v>10.67</v>
      </c>
      <c r="U4" s="134" t="s">
        <v>759</v>
      </c>
      <c r="V4" s="431" t="s">
        <v>764</v>
      </c>
      <c r="W4" s="437" t="s">
        <v>765</v>
      </c>
      <c r="X4" s="112">
        <v>1</v>
      </c>
      <c r="Y4" s="121" t="s">
        <v>758</v>
      </c>
      <c r="Z4" s="433">
        <v>9.1199999999999992</v>
      </c>
      <c r="AA4" s="134" t="s">
        <v>759</v>
      </c>
    </row>
    <row r="5" spans="1:27" ht="15.75">
      <c r="A5" s="479"/>
      <c r="B5" s="482"/>
      <c r="C5" s="139" t="s">
        <v>766</v>
      </c>
      <c r="D5" s="140" t="s">
        <v>184</v>
      </c>
      <c r="E5" s="128">
        <v>1</v>
      </c>
      <c r="F5" s="121" t="s">
        <v>758</v>
      </c>
      <c r="G5" s="129">
        <v>38</v>
      </c>
      <c r="H5" s="134" t="s">
        <v>759</v>
      </c>
      <c r="I5" s="120" t="s">
        <v>760</v>
      </c>
      <c r="J5" s="431" t="s">
        <v>767</v>
      </c>
      <c r="K5" s="437" t="s">
        <v>768</v>
      </c>
      <c r="L5" s="112">
        <v>1</v>
      </c>
      <c r="M5" s="121" t="s">
        <v>758</v>
      </c>
      <c r="N5" s="433">
        <v>11.43</v>
      </c>
      <c r="O5" s="134" t="s">
        <v>759</v>
      </c>
      <c r="P5" s="431" t="s">
        <v>767</v>
      </c>
      <c r="Q5" s="448" t="s">
        <v>768</v>
      </c>
      <c r="R5" s="112">
        <v>1</v>
      </c>
      <c r="S5" s="121" t="s">
        <v>758</v>
      </c>
      <c r="T5" s="433">
        <v>7.11</v>
      </c>
      <c r="U5" s="134" t="s">
        <v>759</v>
      </c>
      <c r="V5" s="431" t="s">
        <v>767</v>
      </c>
      <c r="W5" s="437" t="s">
        <v>768</v>
      </c>
      <c r="X5" s="112">
        <v>1</v>
      </c>
      <c r="Y5" s="121" t="s">
        <v>758</v>
      </c>
      <c r="Z5" s="433">
        <v>6.23</v>
      </c>
      <c r="AA5" s="134" t="s">
        <v>759</v>
      </c>
    </row>
    <row r="6" spans="1:27" ht="15.75">
      <c r="A6" s="479"/>
      <c r="B6" s="482"/>
      <c r="C6" s="139" t="s">
        <v>769</v>
      </c>
      <c r="D6" s="140" t="s">
        <v>193</v>
      </c>
      <c r="E6" s="128">
        <v>1</v>
      </c>
      <c r="F6" s="121" t="s">
        <v>758</v>
      </c>
      <c r="G6" s="129">
        <v>36</v>
      </c>
      <c r="H6" s="126" t="s">
        <v>759</v>
      </c>
      <c r="I6" s="120" t="s">
        <v>760</v>
      </c>
      <c r="J6" s="431" t="s">
        <v>770</v>
      </c>
      <c r="K6" s="437" t="s">
        <v>771</v>
      </c>
      <c r="L6" s="112">
        <v>1</v>
      </c>
      <c r="M6" s="121" t="s">
        <v>758</v>
      </c>
      <c r="N6" s="433">
        <v>15.97</v>
      </c>
      <c r="O6" s="126" t="s">
        <v>759</v>
      </c>
      <c r="P6" s="431" t="s">
        <v>770</v>
      </c>
      <c r="Q6" s="437" t="s">
        <v>771</v>
      </c>
      <c r="R6" s="112">
        <v>1</v>
      </c>
      <c r="S6" s="121" t="s">
        <v>758</v>
      </c>
      <c r="T6" s="433">
        <v>10.67</v>
      </c>
      <c r="U6" s="126" t="s">
        <v>759</v>
      </c>
      <c r="V6" s="431" t="s">
        <v>770</v>
      </c>
      <c r="W6" s="437" t="s">
        <v>771</v>
      </c>
      <c r="X6" s="112">
        <v>1</v>
      </c>
      <c r="Y6" s="121" t="s">
        <v>758</v>
      </c>
      <c r="Z6" s="433">
        <v>6.6</v>
      </c>
      <c r="AA6" s="126" t="s">
        <v>759</v>
      </c>
    </row>
    <row r="7" spans="1:27" ht="15.75">
      <c r="A7" s="479"/>
      <c r="B7" s="482"/>
      <c r="C7" s="139" t="s">
        <v>772</v>
      </c>
      <c r="D7" s="140" t="s">
        <v>210</v>
      </c>
      <c r="E7" s="110">
        <v>1</v>
      </c>
      <c r="F7" s="121" t="s">
        <v>758</v>
      </c>
      <c r="G7" s="122">
        <v>33.5</v>
      </c>
      <c r="H7" s="126" t="s">
        <v>759</v>
      </c>
      <c r="I7" s="120" t="s">
        <v>760</v>
      </c>
      <c r="J7" s="431" t="s">
        <v>773</v>
      </c>
      <c r="K7" s="437" t="s">
        <v>774</v>
      </c>
      <c r="L7" s="112">
        <v>1</v>
      </c>
      <c r="M7" s="121" t="s">
        <v>758</v>
      </c>
      <c r="N7" s="433">
        <v>15.97</v>
      </c>
      <c r="O7" s="126" t="s">
        <v>759</v>
      </c>
      <c r="P7" s="431" t="s">
        <v>773</v>
      </c>
      <c r="Q7" s="437" t="s">
        <v>774</v>
      </c>
      <c r="R7" s="112">
        <v>1</v>
      </c>
      <c r="S7" s="121" t="s">
        <v>758</v>
      </c>
      <c r="T7" s="433">
        <v>10.67</v>
      </c>
      <c r="U7" s="126" t="s">
        <v>759</v>
      </c>
      <c r="V7" s="431" t="s">
        <v>773</v>
      </c>
      <c r="W7" s="437" t="s">
        <v>774</v>
      </c>
      <c r="X7" s="112">
        <v>1</v>
      </c>
      <c r="Y7" s="121" t="s">
        <v>758</v>
      </c>
      <c r="Z7" s="433">
        <v>6.6</v>
      </c>
      <c r="AA7" s="126" t="s">
        <v>759</v>
      </c>
    </row>
    <row r="8" spans="1:27" ht="15.75">
      <c r="A8" s="479"/>
      <c r="B8" s="482"/>
      <c r="C8" s="139" t="s">
        <v>775</v>
      </c>
      <c r="D8" s="140" t="s">
        <v>242</v>
      </c>
      <c r="E8" s="141">
        <v>1</v>
      </c>
      <c r="F8" s="121" t="s">
        <v>758</v>
      </c>
      <c r="G8" s="129">
        <v>26.5</v>
      </c>
      <c r="H8" s="134" t="s">
        <v>759</v>
      </c>
      <c r="I8" s="120" t="s">
        <v>760</v>
      </c>
      <c r="J8" s="431" t="s">
        <v>776</v>
      </c>
      <c r="K8" s="437" t="s">
        <v>777</v>
      </c>
      <c r="L8" s="112">
        <v>1</v>
      </c>
      <c r="M8" s="121" t="s">
        <v>758</v>
      </c>
      <c r="N8" s="433">
        <v>15.97</v>
      </c>
      <c r="O8" s="134" t="s">
        <v>759</v>
      </c>
      <c r="P8" s="431" t="s">
        <v>776</v>
      </c>
      <c r="Q8" s="437" t="s">
        <v>777</v>
      </c>
      <c r="R8" s="112">
        <v>1</v>
      </c>
      <c r="S8" s="121" t="s">
        <v>758</v>
      </c>
      <c r="T8" s="433">
        <v>10.67</v>
      </c>
      <c r="U8" s="134" t="s">
        <v>759</v>
      </c>
      <c r="V8" s="431" t="s">
        <v>776</v>
      </c>
      <c r="W8" s="437" t="s">
        <v>777</v>
      </c>
      <c r="X8" s="112">
        <v>1</v>
      </c>
      <c r="Y8" s="121" t="s">
        <v>758</v>
      </c>
      <c r="Z8" s="433">
        <v>6.6</v>
      </c>
      <c r="AA8" s="134" t="s">
        <v>759</v>
      </c>
    </row>
    <row r="9" spans="1:27" ht="15.75">
      <c r="A9" s="479"/>
      <c r="B9" s="482"/>
      <c r="C9" s="139" t="s">
        <v>778</v>
      </c>
      <c r="D9" s="140" t="s">
        <v>246</v>
      </c>
      <c r="E9" s="128">
        <v>1</v>
      </c>
      <c r="F9" s="121" t="s">
        <v>758</v>
      </c>
      <c r="G9" s="129">
        <v>26</v>
      </c>
      <c r="H9" s="134" t="s">
        <v>759</v>
      </c>
      <c r="I9" s="120" t="s">
        <v>760</v>
      </c>
      <c r="J9" s="431" t="s">
        <v>779</v>
      </c>
      <c r="K9" s="437" t="s">
        <v>780</v>
      </c>
      <c r="L9" s="112">
        <v>1</v>
      </c>
      <c r="M9" s="121" t="s">
        <v>758</v>
      </c>
      <c r="N9" s="433">
        <v>15.97</v>
      </c>
      <c r="O9" s="134" t="s">
        <v>759</v>
      </c>
      <c r="P9" s="431" t="s">
        <v>779</v>
      </c>
      <c r="Q9" s="437" t="s">
        <v>780</v>
      </c>
      <c r="R9" s="112">
        <v>1</v>
      </c>
      <c r="S9" s="121" t="s">
        <v>758</v>
      </c>
      <c r="T9" s="433">
        <v>10.67</v>
      </c>
      <c r="U9" s="134" t="s">
        <v>759</v>
      </c>
      <c r="V9" s="431" t="s">
        <v>779</v>
      </c>
      <c r="W9" s="437" t="s">
        <v>780</v>
      </c>
      <c r="X9" s="112">
        <v>1</v>
      </c>
      <c r="Y9" s="121" t="s">
        <v>758</v>
      </c>
      <c r="Z9" s="433">
        <v>6.6</v>
      </c>
      <c r="AA9" s="134" t="s">
        <v>759</v>
      </c>
    </row>
    <row r="10" spans="1:27" ht="15.75">
      <c r="A10" s="479"/>
      <c r="B10" s="482"/>
      <c r="C10" s="139" t="s">
        <v>781</v>
      </c>
      <c r="D10" s="128" t="s">
        <v>218</v>
      </c>
      <c r="E10" s="128">
        <v>1</v>
      </c>
      <c r="F10" s="121" t="s">
        <v>758</v>
      </c>
      <c r="G10" s="129">
        <v>31</v>
      </c>
      <c r="H10" s="134" t="s">
        <v>759</v>
      </c>
      <c r="I10" s="120" t="s">
        <v>760</v>
      </c>
      <c r="J10" s="431" t="s">
        <v>782</v>
      </c>
      <c r="K10" s="437" t="s">
        <v>783</v>
      </c>
      <c r="L10" s="112">
        <v>1</v>
      </c>
      <c r="M10" s="121" t="s">
        <v>758</v>
      </c>
      <c r="N10" s="433">
        <v>18.420000000000002</v>
      </c>
      <c r="O10" s="134" t="s">
        <v>759</v>
      </c>
      <c r="P10" s="431" t="s">
        <v>782</v>
      </c>
      <c r="Q10" s="448" t="s">
        <v>783</v>
      </c>
      <c r="R10" s="112">
        <v>1</v>
      </c>
      <c r="S10" s="121" t="s">
        <v>758</v>
      </c>
      <c r="T10" s="433">
        <v>12.45</v>
      </c>
      <c r="U10" s="134" t="s">
        <v>759</v>
      </c>
      <c r="V10" s="431" t="s">
        <v>782</v>
      </c>
      <c r="W10" s="437" t="s">
        <v>783</v>
      </c>
      <c r="X10" s="112">
        <v>1</v>
      </c>
      <c r="Y10" s="121" t="s">
        <v>758</v>
      </c>
      <c r="Z10" s="433">
        <v>9.68</v>
      </c>
      <c r="AA10" s="134" t="s">
        <v>759</v>
      </c>
    </row>
    <row r="11" spans="1:27" ht="15.75">
      <c r="A11" s="479"/>
      <c r="B11" s="482"/>
      <c r="C11" s="139" t="s">
        <v>784</v>
      </c>
      <c r="D11" s="128" t="s">
        <v>195</v>
      </c>
      <c r="E11" s="128">
        <v>1</v>
      </c>
      <c r="F11" s="121" t="s">
        <v>758</v>
      </c>
      <c r="G11" s="129">
        <v>36</v>
      </c>
      <c r="H11" s="134" t="s">
        <v>759</v>
      </c>
      <c r="I11" s="120" t="s">
        <v>760</v>
      </c>
      <c r="J11" s="431" t="s">
        <v>785</v>
      </c>
      <c r="K11" s="437" t="s">
        <v>786</v>
      </c>
      <c r="L11" s="112">
        <v>1</v>
      </c>
      <c r="M11" s="121" t="s">
        <v>758</v>
      </c>
      <c r="N11" s="433">
        <v>29.48</v>
      </c>
      <c r="O11" s="134" t="s">
        <v>759</v>
      </c>
      <c r="P11" s="431" t="s">
        <v>785</v>
      </c>
      <c r="Q11" s="448" t="s">
        <v>786</v>
      </c>
      <c r="R11" s="112">
        <v>1</v>
      </c>
      <c r="S11" s="121" t="s">
        <v>758</v>
      </c>
      <c r="T11" s="433">
        <v>19.559999999999999</v>
      </c>
      <c r="U11" s="134" t="s">
        <v>759</v>
      </c>
      <c r="V11" s="431" t="s">
        <v>785</v>
      </c>
      <c r="W11" s="437" t="s">
        <v>786</v>
      </c>
      <c r="X11" s="112">
        <v>1</v>
      </c>
      <c r="Y11" s="121" t="s">
        <v>758</v>
      </c>
      <c r="Z11" s="433">
        <v>15.41</v>
      </c>
      <c r="AA11" s="134" t="s">
        <v>759</v>
      </c>
    </row>
    <row r="12" spans="1:27" ht="15.75">
      <c r="A12" s="479"/>
      <c r="B12" s="482"/>
      <c r="C12" s="139" t="s">
        <v>787</v>
      </c>
      <c r="D12" s="128" t="s">
        <v>234</v>
      </c>
      <c r="E12" s="128">
        <v>1</v>
      </c>
      <c r="F12" s="121" t="s">
        <v>758</v>
      </c>
      <c r="G12" s="129">
        <v>29</v>
      </c>
      <c r="H12" s="134" t="s">
        <v>759</v>
      </c>
      <c r="I12" s="120" t="s">
        <v>760</v>
      </c>
      <c r="J12" s="431" t="s">
        <v>788</v>
      </c>
      <c r="K12" s="437" t="s">
        <v>789</v>
      </c>
      <c r="L12" s="112">
        <v>1</v>
      </c>
      <c r="M12" s="121" t="s">
        <v>758</v>
      </c>
      <c r="N12" s="433">
        <v>38.08</v>
      </c>
      <c r="O12" s="134" t="s">
        <v>759</v>
      </c>
      <c r="P12" s="431" t="s">
        <v>788</v>
      </c>
      <c r="Q12" s="448" t="s">
        <v>789</v>
      </c>
      <c r="R12" s="112">
        <v>1</v>
      </c>
      <c r="S12" s="121" t="s">
        <v>758</v>
      </c>
      <c r="T12" s="433">
        <v>23.12</v>
      </c>
      <c r="U12" s="134" t="s">
        <v>759</v>
      </c>
      <c r="V12" s="431" t="s">
        <v>788</v>
      </c>
      <c r="W12" s="437" t="s">
        <v>789</v>
      </c>
      <c r="X12" s="112">
        <v>1</v>
      </c>
      <c r="Y12" s="121" t="s">
        <v>758</v>
      </c>
      <c r="Z12" s="433">
        <v>17.75</v>
      </c>
      <c r="AA12" s="134" t="s">
        <v>759</v>
      </c>
    </row>
    <row r="13" spans="1:27" ht="15.75">
      <c r="A13" s="479"/>
      <c r="B13" s="482"/>
      <c r="C13" s="139" t="s">
        <v>790</v>
      </c>
      <c r="D13" s="128" t="s">
        <v>197</v>
      </c>
      <c r="E13" s="128">
        <v>1</v>
      </c>
      <c r="F13" s="121" t="s">
        <v>758</v>
      </c>
      <c r="G13" s="129">
        <v>35</v>
      </c>
      <c r="H13" s="134" t="s">
        <v>759</v>
      </c>
      <c r="I13" s="120" t="s">
        <v>760</v>
      </c>
      <c r="J13" s="431" t="s">
        <v>791</v>
      </c>
      <c r="K13" s="437" t="s">
        <v>792</v>
      </c>
      <c r="L13" s="112">
        <v>1</v>
      </c>
      <c r="M13" s="121" t="s">
        <v>758</v>
      </c>
      <c r="N13" s="433">
        <v>23.34</v>
      </c>
      <c r="O13" s="134" t="s">
        <v>759</v>
      </c>
      <c r="P13" s="431" t="s">
        <v>791</v>
      </c>
      <c r="Q13" s="437" t="s">
        <v>792</v>
      </c>
      <c r="R13" s="112">
        <v>1</v>
      </c>
      <c r="S13" s="121" t="s">
        <v>758</v>
      </c>
      <c r="T13" s="433">
        <v>16.010000000000002</v>
      </c>
      <c r="U13" s="134" t="s">
        <v>759</v>
      </c>
      <c r="V13" s="431" t="s">
        <v>791</v>
      </c>
      <c r="W13" s="437" t="s">
        <v>792</v>
      </c>
      <c r="X13" s="112">
        <v>1</v>
      </c>
      <c r="Y13" s="121" t="s">
        <v>758</v>
      </c>
      <c r="Z13" s="433">
        <v>12.91</v>
      </c>
      <c r="AA13" s="134" t="s">
        <v>759</v>
      </c>
    </row>
    <row r="14" spans="1:27" ht="15.75">
      <c r="A14" s="479"/>
      <c r="B14" s="482"/>
      <c r="C14" s="139" t="s">
        <v>793</v>
      </c>
      <c r="D14" s="128" t="s">
        <v>252</v>
      </c>
      <c r="E14" s="128">
        <v>1</v>
      </c>
      <c r="F14" s="121" t="s">
        <v>758</v>
      </c>
      <c r="G14" s="129">
        <v>23.5</v>
      </c>
      <c r="H14" s="134" t="s">
        <v>759</v>
      </c>
      <c r="I14" s="120" t="s">
        <v>760</v>
      </c>
      <c r="J14" s="431" t="s">
        <v>794</v>
      </c>
      <c r="K14" s="437" t="s">
        <v>795</v>
      </c>
      <c r="L14" s="112">
        <v>1</v>
      </c>
      <c r="M14" s="121" t="s">
        <v>758</v>
      </c>
      <c r="N14" s="433">
        <v>25.3</v>
      </c>
      <c r="O14" s="134" t="s">
        <v>759</v>
      </c>
      <c r="P14" s="431" t="s">
        <v>794</v>
      </c>
      <c r="Q14" s="437" t="s">
        <v>795</v>
      </c>
      <c r="R14" s="112">
        <v>1</v>
      </c>
      <c r="S14" s="121" t="s">
        <v>758</v>
      </c>
      <c r="T14" s="433">
        <v>16.68</v>
      </c>
      <c r="U14" s="134" t="s">
        <v>759</v>
      </c>
      <c r="V14" s="431" t="s">
        <v>794</v>
      </c>
      <c r="W14" s="437" t="s">
        <v>795</v>
      </c>
      <c r="X14" s="112">
        <v>1</v>
      </c>
      <c r="Y14" s="121" t="s">
        <v>758</v>
      </c>
      <c r="Z14" s="433">
        <v>11.06</v>
      </c>
      <c r="AA14" s="134" t="s">
        <v>759</v>
      </c>
    </row>
    <row r="15" spans="1:27" ht="15.75">
      <c r="A15" s="479"/>
      <c r="B15" s="482"/>
      <c r="C15" s="139" t="s">
        <v>796</v>
      </c>
      <c r="D15" s="128" t="s">
        <v>206</v>
      </c>
      <c r="E15" s="128">
        <v>1</v>
      </c>
      <c r="F15" s="121" t="s">
        <v>758</v>
      </c>
      <c r="G15" s="129">
        <v>34</v>
      </c>
      <c r="H15" s="134" t="s">
        <v>759</v>
      </c>
      <c r="I15" s="120" t="s">
        <v>760</v>
      </c>
      <c r="J15" s="431" t="s">
        <v>797</v>
      </c>
      <c r="K15" s="437" t="s">
        <v>798</v>
      </c>
      <c r="L15" s="112">
        <v>1</v>
      </c>
      <c r="M15" s="121" t="s">
        <v>758</v>
      </c>
      <c r="N15" s="433">
        <v>28.14</v>
      </c>
      <c r="O15" s="134" t="s">
        <v>759</v>
      </c>
      <c r="P15" s="431" t="s">
        <v>797</v>
      </c>
      <c r="Q15" s="437" t="s">
        <v>798</v>
      </c>
      <c r="R15" s="112">
        <v>1</v>
      </c>
      <c r="S15" s="121" t="s">
        <v>758</v>
      </c>
      <c r="T15" s="433">
        <v>17.88</v>
      </c>
      <c r="U15" s="134" t="s">
        <v>759</v>
      </c>
      <c r="V15" s="431" t="s">
        <v>797</v>
      </c>
      <c r="W15" s="437" t="s">
        <v>798</v>
      </c>
      <c r="X15" s="112">
        <v>1</v>
      </c>
      <c r="Y15" s="121" t="s">
        <v>758</v>
      </c>
      <c r="Z15" s="433">
        <v>12.19</v>
      </c>
      <c r="AA15" s="134" t="s">
        <v>759</v>
      </c>
    </row>
    <row r="16" spans="1:27" ht="15.75">
      <c r="A16" s="479"/>
      <c r="B16" s="482"/>
      <c r="C16" s="139" t="s">
        <v>799</v>
      </c>
      <c r="D16" s="128" t="s">
        <v>254</v>
      </c>
      <c r="E16" s="128">
        <v>1</v>
      </c>
      <c r="F16" s="121" t="s">
        <v>758</v>
      </c>
      <c r="G16" s="129">
        <v>22</v>
      </c>
      <c r="H16" s="134" t="s">
        <v>759</v>
      </c>
      <c r="I16" s="120" t="s">
        <v>760</v>
      </c>
      <c r="J16" s="431" t="s">
        <v>800</v>
      </c>
      <c r="K16" s="437" t="s">
        <v>801</v>
      </c>
      <c r="L16" s="112">
        <v>1</v>
      </c>
      <c r="M16" s="121" t="s">
        <v>758</v>
      </c>
      <c r="N16" s="433">
        <v>28.14</v>
      </c>
      <c r="O16" s="134" t="s">
        <v>759</v>
      </c>
      <c r="P16" s="431" t="s">
        <v>800</v>
      </c>
      <c r="Q16" s="437" t="s">
        <v>801</v>
      </c>
      <c r="R16" s="112">
        <v>1</v>
      </c>
      <c r="S16" s="121" t="s">
        <v>758</v>
      </c>
      <c r="T16" s="433">
        <v>17.88</v>
      </c>
      <c r="U16" s="134" t="s">
        <v>759</v>
      </c>
      <c r="V16" s="431" t="s">
        <v>800</v>
      </c>
      <c r="W16" s="437" t="s">
        <v>801</v>
      </c>
      <c r="X16" s="112">
        <v>1</v>
      </c>
      <c r="Y16" s="121" t="s">
        <v>758</v>
      </c>
      <c r="Z16" s="433">
        <v>12.19</v>
      </c>
      <c r="AA16" s="134" t="s">
        <v>759</v>
      </c>
    </row>
    <row r="17" spans="1:27">
      <c r="A17" s="479"/>
      <c r="B17" s="482"/>
      <c r="C17" s="139" t="s">
        <v>802</v>
      </c>
      <c r="D17" s="128" t="s">
        <v>212</v>
      </c>
      <c r="E17" s="128">
        <v>1</v>
      </c>
      <c r="F17" s="121" t="s">
        <v>758</v>
      </c>
      <c r="G17" s="129">
        <v>33</v>
      </c>
      <c r="H17" s="134" t="s">
        <v>759</v>
      </c>
      <c r="I17" s="120" t="s">
        <v>760</v>
      </c>
      <c r="J17" s="127"/>
      <c r="K17" s="128"/>
      <c r="L17" s="128"/>
      <c r="M17" s="121" t="s">
        <v>758</v>
      </c>
      <c r="N17" s="132"/>
      <c r="O17" s="134" t="s">
        <v>759</v>
      </c>
      <c r="P17" s="127"/>
      <c r="Q17" s="128"/>
      <c r="R17" s="128"/>
      <c r="S17" s="121" t="s">
        <v>758</v>
      </c>
      <c r="T17" s="132"/>
      <c r="U17" s="134" t="s">
        <v>759</v>
      </c>
      <c r="V17" s="127"/>
      <c r="W17" s="128"/>
      <c r="X17" s="128"/>
      <c r="Y17" s="121" t="s">
        <v>758</v>
      </c>
      <c r="Z17" s="132"/>
      <c r="AA17" s="134" t="s">
        <v>759</v>
      </c>
    </row>
    <row r="18" spans="1:27">
      <c r="A18" s="479"/>
      <c r="B18" s="482"/>
      <c r="C18" s="139" t="s">
        <v>803</v>
      </c>
      <c r="D18" s="128" t="s">
        <v>258</v>
      </c>
      <c r="E18" s="128">
        <v>1</v>
      </c>
      <c r="F18" s="121" t="s">
        <v>758</v>
      </c>
      <c r="G18" s="129">
        <v>29.5</v>
      </c>
      <c r="H18" s="134" t="s">
        <v>759</v>
      </c>
      <c r="I18" s="120" t="s">
        <v>760</v>
      </c>
      <c r="J18" s="127"/>
      <c r="K18" s="128"/>
      <c r="L18" s="128"/>
      <c r="M18" s="121" t="s">
        <v>758</v>
      </c>
      <c r="N18" s="132"/>
      <c r="O18" s="134" t="s">
        <v>759</v>
      </c>
      <c r="P18" s="127"/>
      <c r="Q18" s="128"/>
      <c r="R18" s="128"/>
      <c r="S18" s="121" t="s">
        <v>758</v>
      </c>
      <c r="T18" s="132"/>
      <c r="U18" s="134" t="s">
        <v>759</v>
      </c>
      <c r="V18" s="127"/>
      <c r="W18" s="128"/>
      <c r="X18" s="128"/>
      <c r="Y18" s="121" t="s">
        <v>758</v>
      </c>
      <c r="Z18" s="132"/>
      <c r="AA18" s="134" t="s">
        <v>759</v>
      </c>
    </row>
    <row r="19" spans="1:27">
      <c r="A19" s="479"/>
      <c r="B19" s="482"/>
      <c r="C19" s="139" t="s">
        <v>804</v>
      </c>
      <c r="D19" s="128" t="s">
        <v>805</v>
      </c>
      <c r="E19" s="128">
        <v>1</v>
      </c>
      <c r="F19" s="121" t="s">
        <v>758</v>
      </c>
      <c r="G19" s="129">
        <v>21</v>
      </c>
      <c r="H19" s="134" t="s">
        <v>759</v>
      </c>
      <c r="I19" s="120" t="s">
        <v>760</v>
      </c>
      <c r="J19" s="127"/>
      <c r="K19" s="128"/>
      <c r="L19" s="128"/>
      <c r="M19" s="121" t="s">
        <v>758</v>
      </c>
      <c r="N19" s="132"/>
      <c r="O19" s="134" t="s">
        <v>759</v>
      </c>
      <c r="P19" s="127"/>
      <c r="Q19" s="449">
        <f>AVERAGE(T3,T4,T5,T10,T11,T12)</f>
        <v>15.546666666666667</v>
      </c>
      <c r="R19" s="128"/>
      <c r="S19" s="121" t="s">
        <v>758</v>
      </c>
      <c r="T19" s="132"/>
      <c r="U19" s="134" t="s">
        <v>759</v>
      </c>
      <c r="V19" s="127"/>
      <c r="W19" s="128"/>
      <c r="X19" s="128"/>
      <c r="Y19" s="121" t="s">
        <v>758</v>
      </c>
      <c r="Z19" s="132"/>
      <c r="AA19" s="134" t="s">
        <v>759</v>
      </c>
    </row>
    <row r="20" spans="1:27">
      <c r="A20" s="479"/>
      <c r="B20" s="482"/>
      <c r="C20" s="139" t="s">
        <v>806</v>
      </c>
      <c r="D20" s="128" t="s">
        <v>273</v>
      </c>
      <c r="E20" s="128">
        <v>1</v>
      </c>
      <c r="F20" s="121" t="s">
        <v>758</v>
      </c>
      <c r="G20" s="129">
        <v>20</v>
      </c>
      <c r="H20" s="134" t="s">
        <v>759</v>
      </c>
      <c r="I20" s="120" t="s">
        <v>760</v>
      </c>
      <c r="J20" s="127"/>
      <c r="K20" s="128"/>
      <c r="L20" s="128"/>
      <c r="M20" s="121" t="s">
        <v>758</v>
      </c>
      <c r="N20" s="132"/>
      <c r="O20" s="134" t="s">
        <v>759</v>
      </c>
      <c r="P20" s="127"/>
      <c r="Q20" s="449">
        <f>AVERAGE(T6,T7,T8,T9,T13,T14,T15,T16)</f>
        <v>13.891249999999999</v>
      </c>
      <c r="R20" s="128"/>
      <c r="S20" s="121" t="s">
        <v>758</v>
      </c>
      <c r="T20" s="132"/>
      <c r="U20" s="134" t="s">
        <v>759</v>
      </c>
      <c r="V20" s="127"/>
      <c r="W20" s="128"/>
      <c r="X20" s="128"/>
      <c r="Y20" s="121" t="s">
        <v>758</v>
      </c>
      <c r="Z20" s="132"/>
      <c r="AA20" s="134" t="s">
        <v>759</v>
      </c>
    </row>
    <row r="21" spans="1:27">
      <c r="A21" s="479"/>
      <c r="B21" s="482"/>
      <c r="C21" s="139" t="s">
        <v>807</v>
      </c>
      <c r="D21" s="128" t="s">
        <v>238</v>
      </c>
      <c r="E21" s="128">
        <v>1</v>
      </c>
      <c r="F21" s="121" t="s">
        <v>758</v>
      </c>
      <c r="G21" s="129">
        <v>27.5</v>
      </c>
      <c r="H21" s="134" t="s">
        <v>759</v>
      </c>
      <c r="I21" s="120" t="s">
        <v>760</v>
      </c>
      <c r="J21" s="127"/>
      <c r="K21" s="128"/>
      <c r="L21" s="128"/>
      <c r="M21" s="121" t="s">
        <v>758</v>
      </c>
      <c r="N21" s="132"/>
      <c r="O21" s="134" t="s">
        <v>759</v>
      </c>
      <c r="P21" s="127"/>
      <c r="Q21" s="128"/>
      <c r="R21" s="128"/>
      <c r="S21" s="121" t="s">
        <v>758</v>
      </c>
      <c r="T21" s="132"/>
      <c r="U21" s="134" t="s">
        <v>759</v>
      </c>
      <c r="V21" s="127"/>
      <c r="W21" s="128"/>
      <c r="X21" s="128"/>
      <c r="Y21" s="121" t="s">
        <v>758</v>
      </c>
      <c r="Z21" s="132"/>
      <c r="AA21" s="134" t="s">
        <v>759</v>
      </c>
    </row>
    <row r="22" spans="1:27">
      <c r="A22" s="479"/>
      <c r="B22" s="482"/>
      <c r="C22" s="139" t="s">
        <v>808</v>
      </c>
      <c r="D22" s="128" t="s">
        <v>266</v>
      </c>
      <c r="E22" s="128">
        <v>1</v>
      </c>
      <c r="F22" s="121" t="s">
        <v>758</v>
      </c>
      <c r="G22" s="129">
        <v>20.5</v>
      </c>
      <c r="H22" s="134" t="s">
        <v>759</v>
      </c>
      <c r="I22" s="120" t="s">
        <v>760</v>
      </c>
      <c r="J22" s="127"/>
      <c r="K22" s="128"/>
      <c r="L22" s="128"/>
      <c r="M22" s="121" t="s">
        <v>758</v>
      </c>
      <c r="N22" s="132"/>
      <c r="O22" s="134" t="s">
        <v>759</v>
      </c>
      <c r="P22" s="127"/>
      <c r="Q22" s="128"/>
      <c r="R22" s="128"/>
      <c r="S22" s="121" t="s">
        <v>758</v>
      </c>
      <c r="T22" s="132"/>
      <c r="U22" s="134" t="s">
        <v>759</v>
      </c>
      <c r="V22" s="127"/>
      <c r="W22" s="128"/>
      <c r="X22" s="128"/>
      <c r="Y22" s="121" t="s">
        <v>758</v>
      </c>
      <c r="Z22" s="132"/>
      <c r="AA22" s="134" t="s">
        <v>759</v>
      </c>
    </row>
    <row r="23" spans="1:27">
      <c r="A23" s="479"/>
      <c r="B23" s="482"/>
      <c r="C23" s="139" t="s">
        <v>809</v>
      </c>
      <c r="D23" s="128" t="s">
        <v>244</v>
      </c>
      <c r="E23" s="128">
        <v>1</v>
      </c>
      <c r="F23" s="110" t="s">
        <v>758</v>
      </c>
      <c r="G23" s="129">
        <v>26.5</v>
      </c>
      <c r="H23" s="134" t="s">
        <v>759</v>
      </c>
      <c r="I23" s="120" t="s">
        <v>760</v>
      </c>
      <c r="J23" s="127"/>
      <c r="K23" s="128"/>
      <c r="L23" s="128"/>
      <c r="M23" s="121" t="s">
        <v>758</v>
      </c>
      <c r="N23" s="132"/>
      <c r="O23" s="134" t="s">
        <v>759</v>
      </c>
      <c r="P23" s="127"/>
      <c r="Q23" s="128"/>
      <c r="R23" s="128"/>
      <c r="S23" s="121" t="s">
        <v>758</v>
      </c>
      <c r="T23" s="132"/>
      <c r="U23" s="134" t="s">
        <v>759</v>
      </c>
      <c r="V23" s="127"/>
      <c r="W23" s="128"/>
      <c r="X23" s="128"/>
      <c r="Y23" s="121" t="s">
        <v>758</v>
      </c>
      <c r="Z23" s="132"/>
      <c r="AA23" s="134" t="s">
        <v>759</v>
      </c>
    </row>
    <row r="24" spans="1:27" ht="18.75">
      <c r="A24" s="480"/>
      <c r="B24" s="115" t="s">
        <v>683</v>
      </c>
      <c r="C24" s="484">
        <f>SUMPRODUCT(E3:E23,G3:G23)</f>
        <v>618.5</v>
      </c>
      <c r="D24" s="495"/>
      <c r="E24" s="495"/>
      <c r="F24" s="485"/>
      <c r="G24" s="485"/>
      <c r="H24" s="486"/>
      <c r="I24" s="120" t="s">
        <v>760</v>
      </c>
      <c r="J24" s="484">
        <f>SUMPRODUCT(L3:L23,N3:N23)</f>
        <v>311.61</v>
      </c>
      <c r="K24" s="495"/>
      <c r="L24" s="495"/>
      <c r="M24" s="485"/>
      <c r="N24" s="485"/>
      <c r="O24" s="486"/>
      <c r="P24" s="484">
        <f>SUMPRODUCT(R3:R23,T3:T23)</f>
        <v>204.41</v>
      </c>
      <c r="Q24" s="495"/>
      <c r="R24" s="495"/>
      <c r="S24" s="485"/>
      <c r="T24" s="485"/>
      <c r="U24" s="486"/>
      <c r="V24" s="484">
        <f>SUMPRODUCT(X3:X23,Z3:Z23)</f>
        <v>145.62</v>
      </c>
      <c r="W24" s="495"/>
      <c r="X24" s="495"/>
      <c r="Y24" s="485"/>
      <c r="Z24" s="485"/>
      <c r="AA24" s="486"/>
    </row>
    <row r="25" spans="1:27">
      <c r="A25" s="496" t="s">
        <v>101</v>
      </c>
      <c r="B25" s="481" t="s">
        <v>756</v>
      </c>
      <c r="C25" s="119" t="s">
        <v>810</v>
      </c>
      <c r="D25" s="120" t="s">
        <v>59</v>
      </c>
      <c r="E25" s="112">
        <v>7</v>
      </c>
      <c r="F25" s="116" t="s">
        <v>758</v>
      </c>
      <c r="G25" s="123">
        <v>38.5</v>
      </c>
      <c r="H25" s="114" t="s">
        <v>759</v>
      </c>
      <c r="I25" s="120" t="s">
        <v>760</v>
      </c>
      <c r="J25" s="119"/>
      <c r="K25" s="120"/>
      <c r="L25" s="112"/>
      <c r="M25" s="116" t="s">
        <v>758</v>
      </c>
      <c r="N25" s="124"/>
      <c r="O25" s="114" t="s">
        <v>759</v>
      </c>
      <c r="P25" s="119" t="s">
        <v>811</v>
      </c>
      <c r="Q25" s="120" t="s">
        <v>812</v>
      </c>
      <c r="R25" s="112">
        <v>3</v>
      </c>
      <c r="S25" s="116" t="s">
        <v>758</v>
      </c>
      <c r="T25" s="124">
        <v>65</v>
      </c>
      <c r="U25" s="114" t="s">
        <v>759</v>
      </c>
      <c r="V25" s="119"/>
      <c r="W25" s="120"/>
      <c r="X25" s="112"/>
      <c r="Y25" s="116" t="s">
        <v>758</v>
      </c>
      <c r="Z25" s="124"/>
      <c r="AA25" s="114" t="s">
        <v>759</v>
      </c>
    </row>
    <row r="26" spans="1:27">
      <c r="A26" s="497"/>
      <c r="B26" s="483"/>
      <c r="C26" s="138" t="s">
        <v>749</v>
      </c>
      <c r="D26" s="110" t="s">
        <v>101</v>
      </c>
      <c r="E26" s="108">
        <v>7</v>
      </c>
      <c r="F26" s="121" t="s">
        <v>758</v>
      </c>
      <c r="G26" s="109">
        <v>16.5</v>
      </c>
      <c r="H26" s="111" t="s">
        <v>759</v>
      </c>
      <c r="I26" s="120" t="s">
        <v>760</v>
      </c>
      <c r="J26" s="118"/>
      <c r="K26" s="110"/>
      <c r="L26" s="108"/>
      <c r="M26" s="121" t="s">
        <v>758</v>
      </c>
      <c r="N26" s="109"/>
      <c r="O26" s="111" t="s">
        <v>759</v>
      </c>
      <c r="P26" s="118"/>
      <c r="Q26" s="110"/>
      <c r="R26" s="108"/>
      <c r="S26" s="121" t="s">
        <v>758</v>
      </c>
      <c r="T26" s="109"/>
      <c r="U26" s="111" t="s">
        <v>759</v>
      </c>
      <c r="V26" s="118"/>
      <c r="W26" s="110"/>
      <c r="X26" s="108"/>
      <c r="Y26" s="121" t="s">
        <v>758</v>
      </c>
      <c r="Z26" s="109"/>
      <c r="AA26" s="111" t="s">
        <v>759</v>
      </c>
    </row>
    <row r="27" spans="1:27" ht="18.75">
      <c r="A27" s="498"/>
      <c r="B27" s="115" t="s">
        <v>683</v>
      </c>
      <c r="C27" s="484">
        <f>SUMPRODUCT(E25:E26,G25:G26)</f>
        <v>385</v>
      </c>
      <c r="D27" s="485"/>
      <c r="E27" s="485"/>
      <c r="F27" s="485"/>
      <c r="G27" s="485"/>
      <c r="H27" s="486"/>
      <c r="I27" s="120" t="s">
        <v>760</v>
      </c>
      <c r="J27" s="484">
        <f>L25*N25+L26*N26</f>
        <v>0</v>
      </c>
      <c r="K27" s="485"/>
      <c r="L27" s="485"/>
      <c r="M27" s="485"/>
      <c r="N27" s="485"/>
      <c r="O27" s="486"/>
      <c r="P27" s="484">
        <f>R25*T25+R26*T26</f>
        <v>195</v>
      </c>
      <c r="Q27" s="485"/>
      <c r="R27" s="485"/>
      <c r="S27" s="485"/>
      <c r="T27" s="485"/>
      <c r="U27" s="486"/>
      <c r="V27" s="484">
        <f>X25*Z25+X26*Z26</f>
        <v>0</v>
      </c>
      <c r="W27" s="485"/>
      <c r="X27" s="485"/>
      <c r="Y27" s="485"/>
      <c r="Z27" s="485"/>
      <c r="AA27" s="486"/>
    </row>
    <row r="28" spans="1:27">
      <c r="A28" s="478" t="s">
        <v>813</v>
      </c>
      <c r="B28" s="481" t="s">
        <v>756</v>
      </c>
      <c r="C28" s="136" t="s">
        <v>93</v>
      </c>
      <c r="D28" s="120" t="s">
        <v>814</v>
      </c>
      <c r="E28" s="112">
        <v>7</v>
      </c>
      <c r="F28" s="120" t="s">
        <v>758</v>
      </c>
      <c r="G28" s="130">
        <v>22.5</v>
      </c>
      <c r="H28" s="131" t="s">
        <v>759</v>
      </c>
      <c r="I28" s="120" t="s">
        <v>760</v>
      </c>
      <c r="J28" s="119"/>
      <c r="K28" s="120"/>
      <c r="L28" s="112"/>
      <c r="M28" s="120" t="s">
        <v>758</v>
      </c>
      <c r="N28" s="133"/>
      <c r="O28" s="131" t="s">
        <v>759</v>
      </c>
      <c r="P28" s="136" t="s">
        <v>93</v>
      </c>
      <c r="Q28" s="120" t="s">
        <v>814</v>
      </c>
      <c r="R28" s="112">
        <v>13</v>
      </c>
      <c r="S28" s="120" t="s">
        <v>758</v>
      </c>
      <c r="T28" s="130">
        <v>10</v>
      </c>
      <c r="U28" s="131" t="s">
        <v>759</v>
      </c>
      <c r="V28" s="119"/>
      <c r="W28" s="120"/>
      <c r="X28" s="112"/>
      <c r="Y28" s="120" t="s">
        <v>758</v>
      </c>
      <c r="Z28" s="133"/>
      <c r="AA28" s="131" t="s">
        <v>759</v>
      </c>
    </row>
    <row r="29" spans="1:27">
      <c r="A29" s="479"/>
      <c r="B29" s="482"/>
      <c r="C29" s="137" t="s">
        <v>116</v>
      </c>
      <c r="D29" s="110" t="s">
        <v>815</v>
      </c>
      <c r="E29" s="128">
        <v>6</v>
      </c>
      <c r="F29" s="110" t="s">
        <v>758</v>
      </c>
      <c r="G29" s="129">
        <v>18.3</v>
      </c>
      <c r="H29" s="126" t="s">
        <v>759</v>
      </c>
      <c r="I29" s="120" t="s">
        <v>760</v>
      </c>
      <c r="J29" s="127"/>
      <c r="K29" s="110"/>
      <c r="L29" s="128"/>
      <c r="M29" s="110" t="s">
        <v>758</v>
      </c>
      <c r="N29" s="132"/>
      <c r="O29" s="126" t="s">
        <v>759</v>
      </c>
      <c r="P29" s="137" t="s">
        <v>811</v>
      </c>
      <c r="Q29" s="110" t="s">
        <v>816</v>
      </c>
      <c r="R29" s="128">
        <v>6</v>
      </c>
      <c r="S29" s="110" t="s">
        <v>758</v>
      </c>
      <c r="T29" s="129">
        <v>2</v>
      </c>
      <c r="U29" s="126" t="s">
        <v>759</v>
      </c>
      <c r="V29" s="127"/>
      <c r="W29" s="110"/>
      <c r="X29" s="128"/>
      <c r="Y29" s="110" t="s">
        <v>758</v>
      </c>
      <c r="Z29" s="132"/>
      <c r="AA29" s="126" t="s">
        <v>759</v>
      </c>
    </row>
    <row r="30" spans="1:27">
      <c r="A30" s="479"/>
      <c r="B30" s="482"/>
      <c r="C30" s="137" t="s">
        <v>817</v>
      </c>
      <c r="D30" s="128" t="s">
        <v>262</v>
      </c>
      <c r="E30" s="128">
        <v>6</v>
      </c>
      <c r="F30" s="110" t="s">
        <v>758</v>
      </c>
      <c r="G30" s="129">
        <v>1.75</v>
      </c>
      <c r="H30" s="126" t="s">
        <v>759</v>
      </c>
      <c r="I30" s="120" t="s">
        <v>760</v>
      </c>
      <c r="J30" s="127"/>
      <c r="K30" s="128"/>
      <c r="L30" s="128"/>
      <c r="M30" s="110" t="s">
        <v>758</v>
      </c>
      <c r="N30" s="132"/>
      <c r="O30" s="126" t="s">
        <v>759</v>
      </c>
      <c r="P30" s="137" t="s">
        <v>817</v>
      </c>
      <c r="Q30" s="128" t="s">
        <v>262</v>
      </c>
      <c r="R30" s="128">
        <v>6</v>
      </c>
      <c r="S30" s="110" t="s">
        <v>758</v>
      </c>
      <c r="T30" s="129">
        <v>1.75</v>
      </c>
      <c r="U30" s="126" t="s">
        <v>759</v>
      </c>
      <c r="V30" s="127"/>
      <c r="W30" s="128"/>
      <c r="X30" s="128"/>
      <c r="Y30" s="110" t="s">
        <v>758</v>
      </c>
      <c r="Z30" s="132"/>
      <c r="AA30" s="126" t="s">
        <v>759</v>
      </c>
    </row>
    <row r="31" spans="1:27">
      <c r="A31" s="479"/>
      <c r="B31" s="483"/>
      <c r="C31" s="161" t="s">
        <v>818</v>
      </c>
      <c r="D31" s="140" t="s">
        <v>819</v>
      </c>
      <c r="E31" s="110">
        <v>6</v>
      </c>
      <c r="F31" s="110" t="s">
        <v>758</v>
      </c>
      <c r="G31" s="122">
        <v>1.43</v>
      </c>
      <c r="H31" s="126" t="s">
        <v>759</v>
      </c>
      <c r="I31" s="120" t="s">
        <v>760</v>
      </c>
      <c r="J31" s="118"/>
      <c r="K31" s="110"/>
      <c r="L31" s="110"/>
      <c r="M31" s="110" t="s">
        <v>758</v>
      </c>
      <c r="N31" s="122"/>
      <c r="O31" s="126" t="s">
        <v>759</v>
      </c>
      <c r="P31" s="161" t="s">
        <v>818</v>
      </c>
      <c r="Q31" s="140" t="s">
        <v>819</v>
      </c>
      <c r="R31" s="110">
        <v>6</v>
      </c>
      <c r="S31" s="110" t="s">
        <v>758</v>
      </c>
      <c r="T31" s="122">
        <v>1.43</v>
      </c>
      <c r="U31" s="126" t="s">
        <v>759</v>
      </c>
      <c r="V31" s="118"/>
      <c r="W31" s="110"/>
      <c r="X31" s="110"/>
      <c r="Y31" s="110" t="s">
        <v>758</v>
      </c>
      <c r="Z31" s="122"/>
      <c r="AA31" s="126" t="s">
        <v>759</v>
      </c>
    </row>
    <row r="32" spans="1:27" ht="18.75">
      <c r="A32" s="480"/>
      <c r="B32" s="115" t="s">
        <v>683</v>
      </c>
      <c r="C32" s="484">
        <f>SUMPRODUCT(E28:E31,G28:G31)</f>
        <v>286.38</v>
      </c>
      <c r="D32" s="485"/>
      <c r="E32" s="485"/>
      <c r="F32" s="485"/>
      <c r="G32" s="485"/>
      <c r="H32" s="486"/>
      <c r="I32" s="120" t="s">
        <v>760</v>
      </c>
      <c r="J32" s="484">
        <f>SUMPRODUCT(L28:L31,N28:N31)</f>
        <v>0</v>
      </c>
      <c r="K32" s="485"/>
      <c r="L32" s="485"/>
      <c r="M32" s="485"/>
      <c r="N32" s="485"/>
      <c r="O32" s="486"/>
      <c r="P32" s="484">
        <f>SUMPRODUCT(R28:R31,T28:T31)</f>
        <v>161.08000000000001</v>
      </c>
      <c r="Q32" s="485"/>
      <c r="R32" s="485"/>
      <c r="S32" s="485"/>
      <c r="T32" s="485"/>
      <c r="U32" s="486"/>
      <c r="V32" s="484">
        <f>SUMPRODUCT(X28:X31,Z28:Z31)</f>
        <v>0</v>
      </c>
      <c r="W32" s="485"/>
      <c r="X32" s="485"/>
      <c r="Y32" s="485"/>
      <c r="Z32" s="485"/>
      <c r="AA32" s="486"/>
    </row>
    <row r="33" spans="1:27">
      <c r="A33" s="478" t="s">
        <v>820</v>
      </c>
      <c r="B33" s="481" t="s">
        <v>756</v>
      </c>
      <c r="C33" s="136" t="s">
        <v>821</v>
      </c>
      <c r="D33" s="120" t="s">
        <v>822</v>
      </c>
      <c r="E33" s="112">
        <v>1</v>
      </c>
      <c r="F33" s="120" t="s">
        <v>758</v>
      </c>
      <c r="G33" s="130">
        <v>16.5</v>
      </c>
      <c r="H33" s="131" t="s">
        <v>759</v>
      </c>
      <c r="I33" s="120" t="s">
        <v>760</v>
      </c>
      <c r="J33" s="119"/>
      <c r="K33" s="120"/>
      <c r="L33" s="112"/>
      <c r="M33" s="120" t="s">
        <v>758</v>
      </c>
      <c r="N33" s="133"/>
      <c r="O33" s="131" t="s">
        <v>759</v>
      </c>
      <c r="P33" s="136" t="s">
        <v>821</v>
      </c>
      <c r="Q33" s="120" t="s">
        <v>822</v>
      </c>
      <c r="R33" s="112">
        <v>1</v>
      </c>
      <c r="S33" s="120" t="s">
        <v>758</v>
      </c>
      <c r="T33" s="130">
        <v>16.5</v>
      </c>
      <c r="U33" s="131" t="s">
        <v>759</v>
      </c>
      <c r="V33" s="119"/>
      <c r="W33" s="120"/>
      <c r="X33" s="112"/>
      <c r="Y33" s="120" t="s">
        <v>758</v>
      </c>
      <c r="Z33" s="133"/>
      <c r="AA33" s="131" t="s">
        <v>759</v>
      </c>
    </row>
    <row r="34" spans="1:27">
      <c r="A34" s="479"/>
      <c r="B34" s="482"/>
      <c r="C34" s="139" t="s">
        <v>823</v>
      </c>
      <c r="D34" s="140" t="s">
        <v>822</v>
      </c>
      <c r="E34" s="141">
        <v>1</v>
      </c>
      <c r="F34" s="121" t="s">
        <v>758</v>
      </c>
      <c r="G34" s="129">
        <v>16.5</v>
      </c>
      <c r="H34" s="134" t="s">
        <v>759</v>
      </c>
      <c r="I34" s="120" t="s">
        <v>760</v>
      </c>
      <c r="J34" s="127"/>
      <c r="K34" s="128"/>
      <c r="L34" s="141"/>
      <c r="M34" s="121" t="s">
        <v>758</v>
      </c>
      <c r="N34" s="132"/>
      <c r="O34" s="134" t="s">
        <v>759</v>
      </c>
      <c r="P34" s="139" t="s">
        <v>823</v>
      </c>
      <c r="Q34" s="140" t="s">
        <v>822</v>
      </c>
      <c r="R34" s="141">
        <v>1</v>
      </c>
      <c r="S34" s="121" t="s">
        <v>758</v>
      </c>
      <c r="T34" s="129">
        <v>16.5</v>
      </c>
      <c r="U34" s="134" t="s">
        <v>759</v>
      </c>
      <c r="V34" s="127"/>
      <c r="W34" s="128"/>
      <c r="X34" s="141"/>
      <c r="Y34" s="121" t="s">
        <v>758</v>
      </c>
      <c r="Z34" s="132"/>
      <c r="AA34" s="134" t="s">
        <v>759</v>
      </c>
    </row>
    <row r="35" spans="1:27">
      <c r="A35" s="479"/>
      <c r="B35" s="482"/>
      <c r="C35" s="139" t="s">
        <v>824</v>
      </c>
      <c r="D35" s="140" t="s">
        <v>822</v>
      </c>
      <c r="E35" s="128">
        <v>1</v>
      </c>
      <c r="F35" s="121" t="s">
        <v>758</v>
      </c>
      <c r="G35" s="129">
        <v>16.5</v>
      </c>
      <c r="H35" s="134" t="s">
        <v>759</v>
      </c>
      <c r="I35" s="120" t="s">
        <v>760</v>
      </c>
      <c r="J35" s="127"/>
      <c r="K35" s="140"/>
      <c r="L35" s="128"/>
      <c r="M35" s="121" t="s">
        <v>758</v>
      </c>
      <c r="N35" s="132"/>
      <c r="O35" s="134" t="s">
        <v>759</v>
      </c>
      <c r="P35" s="139" t="s">
        <v>824</v>
      </c>
      <c r="Q35" s="140" t="s">
        <v>822</v>
      </c>
      <c r="R35" s="128">
        <v>1</v>
      </c>
      <c r="S35" s="121" t="s">
        <v>758</v>
      </c>
      <c r="T35" s="129">
        <v>16.5</v>
      </c>
      <c r="U35" s="134" t="s">
        <v>759</v>
      </c>
      <c r="V35" s="127"/>
      <c r="W35" s="140"/>
      <c r="X35" s="128"/>
      <c r="Y35" s="121" t="s">
        <v>758</v>
      </c>
      <c r="Z35" s="132"/>
      <c r="AA35" s="134" t="s">
        <v>759</v>
      </c>
    </row>
    <row r="36" spans="1:27">
      <c r="A36" s="479"/>
      <c r="B36" s="482"/>
      <c r="C36" s="139" t="s">
        <v>825</v>
      </c>
      <c r="D36" s="140" t="s">
        <v>822</v>
      </c>
      <c r="E36" s="128">
        <v>1</v>
      </c>
      <c r="F36" s="121" t="s">
        <v>758</v>
      </c>
      <c r="G36" s="129">
        <v>16.5</v>
      </c>
      <c r="H36" s="126" t="s">
        <v>759</v>
      </c>
      <c r="I36" s="120" t="s">
        <v>760</v>
      </c>
      <c r="J36" s="127"/>
      <c r="K36" s="128"/>
      <c r="L36" s="128"/>
      <c r="M36" s="121" t="s">
        <v>758</v>
      </c>
      <c r="N36" s="132"/>
      <c r="O36" s="126" t="s">
        <v>759</v>
      </c>
      <c r="P36" s="139" t="s">
        <v>825</v>
      </c>
      <c r="Q36" s="140" t="s">
        <v>822</v>
      </c>
      <c r="R36" s="128">
        <v>1</v>
      </c>
      <c r="S36" s="121" t="s">
        <v>758</v>
      </c>
      <c r="T36" s="129">
        <v>16.5</v>
      </c>
      <c r="U36" s="126" t="s">
        <v>759</v>
      </c>
      <c r="V36" s="127"/>
      <c r="W36" s="128"/>
      <c r="X36" s="128"/>
      <c r="Y36" s="121" t="s">
        <v>758</v>
      </c>
      <c r="Z36" s="132"/>
      <c r="AA36" s="126" t="s">
        <v>759</v>
      </c>
    </row>
    <row r="37" spans="1:27">
      <c r="A37" s="479"/>
      <c r="B37" s="482"/>
      <c r="C37" s="139" t="s">
        <v>826</v>
      </c>
      <c r="D37" s="140" t="s">
        <v>822</v>
      </c>
      <c r="E37" s="128">
        <v>1</v>
      </c>
      <c r="F37" s="121" t="s">
        <v>758</v>
      </c>
      <c r="G37" s="129">
        <v>16.5</v>
      </c>
      <c r="H37" s="126" t="s">
        <v>759</v>
      </c>
      <c r="I37" s="120" t="s">
        <v>760</v>
      </c>
      <c r="J37" s="127"/>
      <c r="K37" s="128"/>
      <c r="L37" s="128"/>
      <c r="M37" s="110" t="s">
        <v>758</v>
      </c>
      <c r="N37" s="132"/>
      <c r="O37" s="126" t="s">
        <v>759</v>
      </c>
      <c r="P37" s="139" t="s">
        <v>826</v>
      </c>
      <c r="Q37" s="140" t="s">
        <v>822</v>
      </c>
      <c r="R37" s="128">
        <v>1</v>
      </c>
      <c r="S37" s="121" t="s">
        <v>758</v>
      </c>
      <c r="T37" s="129">
        <v>16.5</v>
      </c>
      <c r="U37" s="126" t="s">
        <v>759</v>
      </c>
      <c r="V37" s="127"/>
      <c r="W37" s="128"/>
      <c r="X37" s="128"/>
      <c r="Y37" s="110" t="s">
        <v>758</v>
      </c>
      <c r="Z37" s="132"/>
      <c r="AA37" s="126" t="s">
        <v>759</v>
      </c>
    </row>
    <row r="38" spans="1:27">
      <c r="A38" s="479"/>
      <c r="B38" s="482"/>
      <c r="C38" s="139" t="s">
        <v>827</v>
      </c>
      <c r="D38" s="140" t="s">
        <v>822</v>
      </c>
      <c r="E38" s="110">
        <v>1</v>
      </c>
      <c r="F38" s="110" t="s">
        <v>758</v>
      </c>
      <c r="G38" s="159">
        <v>16.5</v>
      </c>
      <c r="H38" s="126" t="s">
        <v>759</v>
      </c>
      <c r="I38" s="120" t="s">
        <v>760</v>
      </c>
      <c r="J38" s="127"/>
      <c r="K38" s="128"/>
      <c r="L38" s="128"/>
      <c r="M38" s="128" t="s">
        <v>758</v>
      </c>
      <c r="N38" s="132"/>
      <c r="O38" s="126" t="s">
        <v>759</v>
      </c>
      <c r="P38" s="139" t="s">
        <v>827</v>
      </c>
      <c r="Q38" s="140" t="s">
        <v>822</v>
      </c>
      <c r="R38" s="110">
        <v>1</v>
      </c>
      <c r="S38" s="110" t="s">
        <v>758</v>
      </c>
      <c r="T38" s="159">
        <v>16.5</v>
      </c>
      <c r="U38" s="126" t="s">
        <v>759</v>
      </c>
      <c r="V38" s="127"/>
      <c r="W38" s="128"/>
      <c r="X38" s="128"/>
      <c r="Y38" s="128" t="s">
        <v>758</v>
      </c>
      <c r="Z38" s="132"/>
      <c r="AA38" s="126" t="s">
        <v>759</v>
      </c>
    </row>
    <row r="39" spans="1:27">
      <c r="A39" s="479"/>
      <c r="B39" s="482"/>
      <c r="C39" s="139" t="s">
        <v>828</v>
      </c>
      <c r="D39" s="140" t="s">
        <v>822</v>
      </c>
      <c r="E39" s="141">
        <v>1</v>
      </c>
      <c r="F39" s="110" t="s">
        <v>758</v>
      </c>
      <c r="G39" s="129">
        <v>16.5</v>
      </c>
      <c r="H39" s="126" t="s">
        <v>759</v>
      </c>
      <c r="I39" s="120" t="s">
        <v>760</v>
      </c>
      <c r="J39" s="127"/>
      <c r="K39" s="128"/>
      <c r="L39" s="128"/>
      <c r="M39" s="128" t="s">
        <v>758</v>
      </c>
      <c r="N39" s="132"/>
      <c r="O39" s="126" t="s">
        <v>759</v>
      </c>
      <c r="P39" s="139" t="s">
        <v>828</v>
      </c>
      <c r="Q39" s="140" t="s">
        <v>822</v>
      </c>
      <c r="R39" s="141">
        <v>1</v>
      </c>
      <c r="S39" s="110" t="s">
        <v>758</v>
      </c>
      <c r="T39" s="129">
        <v>16.5</v>
      </c>
      <c r="U39" s="126" t="s">
        <v>759</v>
      </c>
      <c r="V39" s="127"/>
      <c r="W39" s="128"/>
      <c r="X39" s="128"/>
      <c r="Y39" s="128" t="s">
        <v>758</v>
      </c>
      <c r="Z39" s="132"/>
      <c r="AA39" s="126" t="s">
        <v>759</v>
      </c>
    </row>
    <row r="40" spans="1:27">
      <c r="A40" s="479"/>
      <c r="B40" s="482"/>
      <c r="C40" s="139" t="s">
        <v>829</v>
      </c>
      <c r="D40" s="128" t="s">
        <v>275</v>
      </c>
      <c r="E40" s="128">
        <v>7</v>
      </c>
      <c r="F40" s="128" t="s">
        <v>758</v>
      </c>
      <c r="G40" s="129">
        <v>1.4</v>
      </c>
      <c r="H40" s="158" t="s">
        <v>759</v>
      </c>
      <c r="I40" s="120" t="s">
        <v>760</v>
      </c>
      <c r="J40" s="127"/>
      <c r="K40" s="128"/>
      <c r="L40" s="128"/>
      <c r="M40" s="128" t="s">
        <v>758</v>
      </c>
      <c r="N40" s="132"/>
      <c r="O40" s="126" t="s">
        <v>759</v>
      </c>
      <c r="P40" s="139" t="s">
        <v>829</v>
      </c>
      <c r="Q40" s="128" t="s">
        <v>275</v>
      </c>
      <c r="R40" s="128">
        <v>7</v>
      </c>
      <c r="S40" s="128" t="s">
        <v>758</v>
      </c>
      <c r="T40" s="129">
        <v>1.4</v>
      </c>
      <c r="U40" s="126" t="s">
        <v>759</v>
      </c>
      <c r="V40" s="127"/>
      <c r="W40" s="128"/>
      <c r="X40" s="128"/>
      <c r="Y40" s="128" t="s">
        <v>758</v>
      </c>
      <c r="Z40" s="132"/>
      <c r="AA40" s="126" t="s">
        <v>759</v>
      </c>
    </row>
    <row r="41" spans="1:27">
      <c r="A41" s="479"/>
      <c r="B41" s="482"/>
      <c r="C41" s="161" t="s">
        <v>830</v>
      </c>
      <c r="D41" s="140" t="s">
        <v>281</v>
      </c>
      <c r="E41" s="140">
        <v>7</v>
      </c>
      <c r="F41" s="140" t="s">
        <v>758</v>
      </c>
      <c r="G41" s="159">
        <v>1.2</v>
      </c>
      <c r="H41" s="162" t="s">
        <v>759</v>
      </c>
      <c r="I41" s="120" t="s">
        <v>760</v>
      </c>
      <c r="J41" s="127"/>
      <c r="K41" s="128"/>
      <c r="L41" s="128"/>
      <c r="M41" s="128" t="s">
        <v>758</v>
      </c>
      <c r="N41" s="132"/>
      <c r="O41" s="126" t="s">
        <v>759</v>
      </c>
      <c r="P41" s="161" t="s">
        <v>830</v>
      </c>
      <c r="Q41" s="140" t="s">
        <v>281</v>
      </c>
      <c r="R41" s="140">
        <v>7</v>
      </c>
      <c r="S41" s="140" t="s">
        <v>758</v>
      </c>
      <c r="T41" s="159">
        <v>1.2</v>
      </c>
      <c r="U41" s="126" t="s">
        <v>759</v>
      </c>
      <c r="V41" s="127"/>
      <c r="W41" s="128"/>
      <c r="X41" s="128"/>
      <c r="Y41" s="128" t="s">
        <v>758</v>
      </c>
      <c r="Z41" s="132"/>
      <c r="AA41" s="126" t="s">
        <v>759</v>
      </c>
    </row>
    <row r="42" spans="1:27">
      <c r="A42" s="479"/>
      <c r="B42" s="482"/>
      <c r="C42" s="161" t="s">
        <v>831</v>
      </c>
      <c r="D42" s="140" t="s">
        <v>832</v>
      </c>
      <c r="E42" s="140">
        <v>14</v>
      </c>
      <c r="F42" s="140" t="s">
        <v>758</v>
      </c>
      <c r="G42" s="166">
        <v>2.64</v>
      </c>
      <c r="H42" s="162" t="s">
        <v>759</v>
      </c>
      <c r="I42" s="120" t="s">
        <v>760</v>
      </c>
      <c r="J42" s="127"/>
      <c r="K42" s="128"/>
      <c r="L42" s="128"/>
      <c r="M42" s="128" t="s">
        <v>758</v>
      </c>
      <c r="N42" s="132"/>
      <c r="O42" s="126" t="s">
        <v>759</v>
      </c>
      <c r="P42" s="161" t="s">
        <v>831</v>
      </c>
      <c r="Q42" s="140" t="s">
        <v>832</v>
      </c>
      <c r="R42" s="140">
        <v>14</v>
      </c>
      <c r="S42" s="140" t="s">
        <v>758</v>
      </c>
      <c r="T42" s="166">
        <v>2.64</v>
      </c>
      <c r="U42" s="126" t="s">
        <v>759</v>
      </c>
      <c r="V42" s="127"/>
      <c r="W42" s="128"/>
      <c r="X42" s="128"/>
      <c r="Y42" s="128" t="s">
        <v>758</v>
      </c>
      <c r="Z42" s="132"/>
      <c r="AA42" s="126" t="s">
        <v>759</v>
      </c>
    </row>
    <row r="43" spans="1:27">
      <c r="A43" s="479"/>
      <c r="B43" s="482"/>
      <c r="C43" s="137" t="s">
        <v>833</v>
      </c>
      <c r="D43" s="128" t="s">
        <v>834</v>
      </c>
      <c r="E43" s="128">
        <v>1</v>
      </c>
      <c r="F43" s="128" t="s">
        <v>758</v>
      </c>
      <c r="G43" s="129">
        <v>9.4</v>
      </c>
      <c r="H43" s="158" t="s">
        <v>759</v>
      </c>
      <c r="I43" s="120" t="s">
        <v>760</v>
      </c>
      <c r="J43" s="127"/>
      <c r="K43" s="128"/>
      <c r="L43" s="128"/>
      <c r="M43" s="128" t="s">
        <v>758</v>
      </c>
      <c r="N43" s="132"/>
      <c r="O43" s="126" t="s">
        <v>759</v>
      </c>
      <c r="P43" s="137" t="s">
        <v>833</v>
      </c>
      <c r="Q43" s="128" t="s">
        <v>834</v>
      </c>
      <c r="R43" s="128">
        <v>1</v>
      </c>
      <c r="S43" s="128" t="s">
        <v>758</v>
      </c>
      <c r="T43" s="129">
        <v>9.4</v>
      </c>
      <c r="U43" s="126" t="s">
        <v>759</v>
      </c>
      <c r="V43" s="127"/>
      <c r="W43" s="128"/>
      <c r="X43" s="128"/>
      <c r="Y43" s="128" t="s">
        <v>758</v>
      </c>
      <c r="Z43" s="132"/>
      <c r="AA43" s="126" t="s">
        <v>759</v>
      </c>
    </row>
    <row r="44" spans="1:27">
      <c r="A44" s="479"/>
      <c r="B44" s="482"/>
      <c r="C44" s="137" t="s">
        <v>835</v>
      </c>
      <c r="D44" s="128" t="s">
        <v>834</v>
      </c>
      <c r="E44" s="128">
        <v>1</v>
      </c>
      <c r="F44" s="128" t="s">
        <v>758</v>
      </c>
      <c r="G44" s="129">
        <v>9.4</v>
      </c>
      <c r="H44" s="158" t="s">
        <v>759</v>
      </c>
      <c r="I44" s="120" t="s">
        <v>760</v>
      </c>
      <c r="J44" s="127"/>
      <c r="K44" s="128"/>
      <c r="L44" s="128"/>
      <c r="M44" s="128" t="s">
        <v>758</v>
      </c>
      <c r="N44" s="132"/>
      <c r="O44" s="126" t="s">
        <v>759</v>
      </c>
      <c r="P44" s="137" t="s">
        <v>835</v>
      </c>
      <c r="Q44" s="128" t="s">
        <v>834</v>
      </c>
      <c r="R44" s="128">
        <v>1</v>
      </c>
      <c r="S44" s="128" t="s">
        <v>758</v>
      </c>
      <c r="T44" s="129">
        <v>9.4</v>
      </c>
      <c r="U44" s="126" t="s">
        <v>759</v>
      </c>
      <c r="V44" s="127"/>
      <c r="W44" s="128"/>
      <c r="X44" s="128"/>
      <c r="Y44" s="128" t="s">
        <v>758</v>
      </c>
      <c r="Z44" s="132"/>
      <c r="AA44" s="126" t="s">
        <v>759</v>
      </c>
    </row>
    <row r="45" spans="1:27">
      <c r="A45" s="479"/>
      <c r="B45" s="482"/>
      <c r="C45" s="137" t="s">
        <v>836</v>
      </c>
      <c r="D45" s="128" t="s">
        <v>834</v>
      </c>
      <c r="E45" s="128">
        <v>2</v>
      </c>
      <c r="F45" s="128" t="s">
        <v>758</v>
      </c>
      <c r="G45" s="129">
        <v>9.4</v>
      </c>
      <c r="H45" s="158" t="s">
        <v>759</v>
      </c>
      <c r="I45" s="120" t="s">
        <v>760</v>
      </c>
      <c r="J45" s="127"/>
      <c r="K45" s="128"/>
      <c r="L45" s="128"/>
      <c r="M45" s="128" t="s">
        <v>758</v>
      </c>
      <c r="N45" s="132"/>
      <c r="O45" s="126" t="s">
        <v>759</v>
      </c>
      <c r="P45" s="137" t="s">
        <v>836</v>
      </c>
      <c r="Q45" s="128" t="s">
        <v>834</v>
      </c>
      <c r="R45" s="128">
        <v>2</v>
      </c>
      <c r="S45" s="128" t="s">
        <v>758</v>
      </c>
      <c r="T45" s="129">
        <v>9.4</v>
      </c>
      <c r="U45" s="126" t="s">
        <v>759</v>
      </c>
      <c r="V45" s="127"/>
      <c r="W45" s="128"/>
      <c r="X45" s="128"/>
      <c r="Y45" s="128" t="s">
        <v>758</v>
      </c>
      <c r="Z45" s="132"/>
      <c r="AA45" s="126" t="s">
        <v>759</v>
      </c>
    </row>
    <row r="46" spans="1:27">
      <c r="A46" s="479"/>
      <c r="B46" s="482"/>
      <c r="C46" s="137" t="s">
        <v>837</v>
      </c>
      <c r="D46" s="128" t="s">
        <v>834</v>
      </c>
      <c r="E46" s="128">
        <v>1</v>
      </c>
      <c r="F46" s="128" t="s">
        <v>758</v>
      </c>
      <c r="G46" s="129">
        <v>9.4</v>
      </c>
      <c r="H46" s="158" t="s">
        <v>759</v>
      </c>
      <c r="I46" s="120" t="s">
        <v>760</v>
      </c>
      <c r="J46" s="127"/>
      <c r="K46" s="128"/>
      <c r="L46" s="128"/>
      <c r="M46" s="128" t="s">
        <v>758</v>
      </c>
      <c r="N46" s="132"/>
      <c r="O46" s="126" t="s">
        <v>759</v>
      </c>
      <c r="P46" s="137" t="s">
        <v>837</v>
      </c>
      <c r="Q46" s="128" t="s">
        <v>834</v>
      </c>
      <c r="R46" s="128">
        <v>1</v>
      </c>
      <c r="S46" s="128" t="s">
        <v>758</v>
      </c>
      <c r="T46" s="129">
        <v>9.4</v>
      </c>
      <c r="U46" s="126" t="s">
        <v>759</v>
      </c>
      <c r="V46" s="127"/>
      <c r="W46" s="128"/>
      <c r="X46" s="128"/>
      <c r="Y46" s="128" t="s">
        <v>758</v>
      </c>
      <c r="Z46" s="132"/>
      <c r="AA46" s="126" t="s">
        <v>759</v>
      </c>
    </row>
    <row r="47" spans="1:27">
      <c r="A47" s="479"/>
      <c r="B47" s="482"/>
      <c r="C47" s="137" t="s">
        <v>838</v>
      </c>
      <c r="D47" s="128" t="s">
        <v>834</v>
      </c>
      <c r="E47" s="128">
        <v>1</v>
      </c>
      <c r="F47" s="128" t="s">
        <v>758</v>
      </c>
      <c r="G47" s="129">
        <v>9.4</v>
      </c>
      <c r="H47" s="158" t="s">
        <v>759</v>
      </c>
      <c r="I47" s="120" t="s">
        <v>760</v>
      </c>
      <c r="J47" s="127"/>
      <c r="K47" s="128"/>
      <c r="L47" s="128"/>
      <c r="M47" s="128" t="s">
        <v>758</v>
      </c>
      <c r="N47" s="132"/>
      <c r="O47" s="126" t="s">
        <v>759</v>
      </c>
      <c r="P47" s="137" t="s">
        <v>838</v>
      </c>
      <c r="Q47" s="128" t="s">
        <v>834</v>
      </c>
      <c r="R47" s="128">
        <v>1</v>
      </c>
      <c r="S47" s="128" t="s">
        <v>758</v>
      </c>
      <c r="T47" s="129">
        <v>9.4</v>
      </c>
      <c r="U47" s="126" t="s">
        <v>759</v>
      </c>
      <c r="V47" s="127"/>
      <c r="W47" s="128"/>
      <c r="X47" s="128"/>
      <c r="Y47" s="128" t="s">
        <v>758</v>
      </c>
      <c r="Z47" s="132"/>
      <c r="AA47" s="126" t="s">
        <v>759</v>
      </c>
    </row>
    <row r="48" spans="1:27">
      <c r="A48" s="479"/>
      <c r="B48" s="482"/>
      <c r="C48" s="137" t="s">
        <v>839</v>
      </c>
      <c r="D48" s="128" t="s">
        <v>834</v>
      </c>
      <c r="E48" s="128">
        <v>1</v>
      </c>
      <c r="F48" s="128" t="s">
        <v>758</v>
      </c>
      <c r="G48" s="129">
        <v>9.4</v>
      </c>
      <c r="H48" s="158" t="s">
        <v>759</v>
      </c>
      <c r="I48" s="120" t="s">
        <v>760</v>
      </c>
      <c r="J48" s="127"/>
      <c r="K48" s="128"/>
      <c r="L48" s="128"/>
      <c r="M48" s="128" t="s">
        <v>758</v>
      </c>
      <c r="N48" s="132"/>
      <c r="O48" s="126" t="s">
        <v>759</v>
      </c>
      <c r="P48" s="137" t="s">
        <v>839</v>
      </c>
      <c r="Q48" s="128" t="s">
        <v>834</v>
      </c>
      <c r="R48" s="128">
        <v>1</v>
      </c>
      <c r="S48" s="128" t="s">
        <v>758</v>
      </c>
      <c r="T48" s="129">
        <v>9.4</v>
      </c>
      <c r="U48" s="126" t="s">
        <v>759</v>
      </c>
      <c r="V48" s="127"/>
      <c r="W48" s="128"/>
      <c r="X48" s="128"/>
      <c r="Y48" s="128" t="s">
        <v>758</v>
      </c>
      <c r="Z48" s="132"/>
      <c r="AA48" s="126" t="s">
        <v>759</v>
      </c>
    </row>
    <row r="49" spans="1:27">
      <c r="A49" s="479"/>
      <c r="B49" s="482"/>
      <c r="C49" s="137" t="s">
        <v>840</v>
      </c>
      <c r="D49" s="128" t="s">
        <v>841</v>
      </c>
      <c r="E49" s="128">
        <v>1</v>
      </c>
      <c r="F49" s="128" t="s">
        <v>758</v>
      </c>
      <c r="G49" s="129">
        <v>1.2</v>
      </c>
      <c r="H49" s="158" t="s">
        <v>759</v>
      </c>
      <c r="I49" s="120" t="s">
        <v>760</v>
      </c>
      <c r="J49" s="127"/>
      <c r="K49" s="128"/>
      <c r="L49" s="128"/>
      <c r="M49" s="128" t="s">
        <v>758</v>
      </c>
      <c r="N49" s="132"/>
      <c r="O49" s="126" t="s">
        <v>759</v>
      </c>
      <c r="P49" s="137" t="s">
        <v>840</v>
      </c>
      <c r="Q49" s="128" t="s">
        <v>841</v>
      </c>
      <c r="R49" s="128">
        <v>1</v>
      </c>
      <c r="S49" s="128" t="s">
        <v>758</v>
      </c>
      <c r="T49" s="129">
        <v>1.2</v>
      </c>
      <c r="U49" s="126" t="s">
        <v>759</v>
      </c>
      <c r="V49" s="127"/>
      <c r="W49" s="128"/>
      <c r="X49" s="128"/>
      <c r="Y49" s="128" t="s">
        <v>758</v>
      </c>
      <c r="Z49" s="132"/>
      <c r="AA49" s="126" t="s">
        <v>759</v>
      </c>
    </row>
    <row r="50" spans="1:27">
      <c r="A50" s="479"/>
      <c r="B50" s="482"/>
      <c r="C50" s="137" t="s">
        <v>842</v>
      </c>
      <c r="D50" s="128" t="s">
        <v>841</v>
      </c>
      <c r="E50" s="128">
        <v>1</v>
      </c>
      <c r="F50" s="128" t="s">
        <v>758</v>
      </c>
      <c r="G50" s="129">
        <v>1.2</v>
      </c>
      <c r="H50" s="158" t="s">
        <v>759</v>
      </c>
      <c r="I50" s="120" t="s">
        <v>760</v>
      </c>
      <c r="J50" s="127"/>
      <c r="K50" s="128"/>
      <c r="L50" s="128"/>
      <c r="M50" s="128" t="s">
        <v>758</v>
      </c>
      <c r="N50" s="132"/>
      <c r="O50" s="126" t="s">
        <v>759</v>
      </c>
      <c r="P50" s="137" t="s">
        <v>842</v>
      </c>
      <c r="Q50" s="128" t="s">
        <v>841</v>
      </c>
      <c r="R50" s="128">
        <v>1</v>
      </c>
      <c r="S50" s="128" t="s">
        <v>758</v>
      </c>
      <c r="T50" s="129">
        <v>1.2</v>
      </c>
      <c r="U50" s="126" t="s">
        <v>759</v>
      </c>
      <c r="V50" s="127"/>
      <c r="W50" s="128"/>
      <c r="X50" s="128"/>
      <c r="Y50" s="128" t="s">
        <v>758</v>
      </c>
      <c r="Z50" s="132"/>
      <c r="AA50" s="126" t="s">
        <v>759</v>
      </c>
    </row>
    <row r="51" spans="1:27">
      <c r="A51" s="479"/>
      <c r="B51" s="482"/>
      <c r="C51" s="137" t="s">
        <v>843</v>
      </c>
      <c r="D51" s="128" t="s">
        <v>841</v>
      </c>
      <c r="E51" s="128">
        <v>1</v>
      </c>
      <c r="F51" s="128" t="s">
        <v>758</v>
      </c>
      <c r="G51" s="129">
        <v>1.2</v>
      </c>
      <c r="H51" s="158" t="s">
        <v>759</v>
      </c>
      <c r="I51" s="120" t="s">
        <v>760</v>
      </c>
      <c r="J51" s="127"/>
      <c r="K51" s="128"/>
      <c r="L51" s="128"/>
      <c r="M51" s="128" t="s">
        <v>758</v>
      </c>
      <c r="N51" s="132"/>
      <c r="O51" s="126" t="s">
        <v>759</v>
      </c>
      <c r="P51" s="137" t="s">
        <v>843</v>
      </c>
      <c r="Q51" s="128" t="s">
        <v>841</v>
      </c>
      <c r="R51" s="128">
        <v>1</v>
      </c>
      <c r="S51" s="128" t="s">
        <v>758</v>
      </c>
      <c r="T51" s="129">
        <v>1.2</v>
      </c>
      <c r="U51" s="126" t="s">
        <v>759</v>
      </c>
      <c r="V51" s="127"/>
      <c r="W51" s="128"/>
      <c r="X51" s="128"/>
      <c r="Y51" s="128" t="s">
        <v>758</v>
      </c>
      <c r="Z51" s="132"/>
      <c r="AA51" s="126" t="s">
        <v>759</v>
      </c>
    </row>
    <row r="52" spans="1:27">
      <c r="A52" s="479"/>
      <c r="B52" s="482"/>
      <c r="C52" s="137" t="s">
        <v>844</v>
      </c>
      <c r="D52" s="128" t="s">
        <v>841</v>
      </c>
      <c r="E52" s="128">
        <v>1</v>
      </c>
      <c r="F52" s="128" t="s">
        <v>758</v>
      </c>
      <c r="G52" s="129">
        <v>1.3</v>
      </c>
      <c r="H52" s="158" t="s">
        <v>759</v>
      </c>
      <c r="I52" s="120" t="s">
        <v>760</v>
      </c>
      <c r="J52" s="127"/>
      <c r="K52" s="128"/>
      <c r="L52" s="128"/>
      <c r="M52" s="128" t="s">
        <v>758</v>
      </c>
      <c r="N52" s="132"/>
      <c r="O52" s="126" t="s">
        <v>759</v>
      </c>
      <c r="P52" s="137" t="s">
        <v>844</v>
      </c>
      <c r="Q52" s="128" t="s">
        <v>841</v>
      </c>
      <c r="R52" s="128">
        <v>1</v>
      </c>
      <c r="S52" s="128" t="s">
        <v>758</v>
      </c>
      <c r="T52" s="129">
        <v>1.3</v>
      </c>
      <c r="U52" s="126" t="s">
        <v>759</v>
      </c>
      <c r="V52" s="127"/>
      <c r="W52" s="128"/>
      <c r="X52" s="128"/>
      <c r="Y52" s="128" t="s">
        <v>758</v>
      </c>
      <c r="Z52" s="132"/>
      <c r="AA52" s="126" t="s">
        <v>759</v>
      </c>
    </row>
    <row r="53" spans="1:27">
      <c r="A53" s="479"/>
      <c r="B53" s="482"/>
      <c r="C53" s="137" t="s">
        <v>845</v>
      </c>
      <c r="D53" s="128" t="s">
        <v>841</v>
      </c>
      <c r="E53" s="128">
        <v>1</v>
      </c>
      <c r="F53" s="128" t="s">
        <v>758</v>
      </c>
      <c r="G53" s="129">
        <v>1.3</v>
      </c>
      <c r="H53" s="158" t="s">
        <v>759</v>
      </c>
      <c r="I53" s="120" t="s">
        <v>760</v>
      </c>
      <c r="J53" s="127"/>
      <c r="K53" s="128"/>
      <c r="L53" s="128"/>
      <c r="M53" s="128" t="s">
        <v>758</v>
      </c>
      <c r="N53" s="132"/>
      <c r="O53" s="126" t="s">
        <v>759</v>
      </c>
      <c r="P53" s="137" t="s">
        <v>845</v>
      </c>
      <c r="Q53" s="128" t="s">
        <v>841</v>
      </c>
      <c r="R53" s="128">
        <v>1</v>
      </c>
      <c r="S53" s="128" t="s">
        <v>758</v>
      </c>
      <c r="T53" s="129">
        <v>1.3</v>
      </c>
      <c r="U53" s="126" t="s">
        <v>759</v>
      </c>
      <c r="V53" s="127"/>
      <c r="W53" s="128"/>
      <c r="X53" s="128"/>
      <c r="Y53" s="128" t="s">
        <v>758</v>
      </c>
      <c r="Z53" s="132"/>
      <c r="AA53" s="126" t="s">
        <v>759</v>
      </c>
    </row>
    <row r="54" spans="1:27">
      <c r="A54" s="479"/>
      <c r="B54" s="482"/>
      <c r="C54" s="137" t="s">
        <v>846</v>
      </c>
      <c r="D54" s="128" t="s">
        <v>841</v>
      </c>
      <c r="E54" s="128">
        <v>1</v>
      </c>
      <c r="F54" s="128" t="s">
        <v>758</v>
      </c>
      <c r="G54" s="129">
        <v>1.3</v>
      </c>
      <c r="H54" s="158" t="s">
        <v>759</v>
      </c>
      <c r="I54" s="120" t="s">
        <v>760</v>
      </c>
      <c r="J54" s="127"/>
      <c r="K54" s="128"/>
      <c r="L54" s="128"/>
      <c r="M54" s="128" t="s">
        <v>758</v>
      </c>
      <c r="N54" s="132"/>
      <c r="O54" s="126" t="s">
        <v>759</v>
      </c>
      <c r="P54" s="137" t="s">
        <v>846</v>
      </c>
      <c r="Q54" s="128" t="s">
        <v>841</v>
      </c>
      <c r="R54" s="128">
        <v>1</v>
      </c>
      <c r="S54" s="128" t="s">
        <v>758</v>
      </c>
      <c r="T54" s="129">
        <v>1.3</v>
      </c>
      <c r="U54" s="126" t="s">
        <v>759</v>
      </c>
      <c r="V54" s="127"/>
      <c r="W54" s="128"/>
      <c r="X54" s="128"/>
      <c r="Y54" s="128" t="s">
        <v>758</v>
      </c>
      <c r="Z54" s="132"/>
      <c r="AA54" s="126" t="s">
        <v>759</v>
      </c>
    </row>
    <row r="55" spans="1:27">
      <c r="A55" s="479"/>
      <c r="B55" s="482"/>
      <c r="C55" s="137" t="s">
        <v>847</v>
      </c>
      <c r="D55" s="128" t="s">
        <v>841</v>
      </c>
      <c r="E55" s="128">
        <v>1</v>
      </c>
      <c r="F55" s="128" t="s">
        <v>758</v>
      </c>
      <c r="G55" s="129">
        <v>1.4</v>
      </c>
      <c r="H55" s="158" t="s">
        <v>759</v>
      </c>
      <c r="I55" s="120" t="s">
        <v>760</v>
      </c>
      <c r="J55" s="127"/>
      <c r="K55" s="128"/>
      <c r="L55" s="128"/>
      <c r="M55" s="128" t="s">
        <v>758</v>
      </c>
      <c r="N55" s="132"/>
      <c r="O55" s="126" t="s">
        <v>759</v>
      </c>
      <c r="P55" s="137" t="s">
        <v>847</v>
      </c>
      <c r="Q55" s="128" t="s">
        <v>841</v>
      </c>
      <c r="R55" s="128">
        <v>1</v>
      </c>
      <c r="S55" s="128" t="s">
        <v>758</v>
      </c>
      <c r="T55" s="129">
        <v>1.4</v>
      </c>
      <c r="U55" s="126" t="s">
        <v>759</v>
      </c>
      <c r="V55" s="127"/>
      <c r="W55" s="128"/>
      <c r="X55" s="128"/>
      <c r="Y55" s="128" t="s">
        <v>758</v>
      </c>
      <c r="Z55" s="132"/>
      <c r="AA55" s="126" t="s">
        <v>759</v>
      </c>
    </row>
    <row r="56" spans="1:27">
      <c r="A56" s="479"/>
      <c r="B56" s="482"/>
      <c r="C56" s="137" t="s">
        <v>848</v>
      </c>
      <c r="D56" s="128" t="s">
        <v>841</v>
      </c>
      <c r="E56" s="128">
        <v>2</v>
      </c>
      <c r="F56" s="128" t="s">
        <v>758</v>
      </c>
      <c r="G56" s="129">
        <v>1.2</v>
      </c>
      <c r="H56" s="158" t="s">
        <v>759</v>
      </c>
      <c r="I56" s="120" t="s">
        <v>760</v>
      </c>
      <c r="J56" s="127"/>
      <c r="K56" s="128"/>
      <c r="L56" s="128"/>
      <c r="M56" s="128" t="s">
        <v>758</v>
      </c>
      <c r="N56" s="132"/>
      <c r="O56" s="126" t="s">
        <v>759</v>
      </c>
      <c r="P56" s="137" t="s">
        <v>848</v>
      </c>
      <c r="Q56" s="128" t="s">
        <v>841</v>
      </c>
      <c r="R56" s="128">
        <v>2</v>
      </c>
      <c r="S56" s="128" t="s">
        <v>758</v>
      </c>
      <c r="T56" s="129">
        <v>1.2</v>
      </c>
      <c r="U56" s="126" t="s">
        <v>759</v>
      </c>
      <c r="V56" s="127"/>
      <c r="W56" s="128"/>
      <c r="X56" s="128"/>
      <c r="Y56" s="128" t="s">
        <v>758</v>
      </c>
      <c r="Z56" s="132"/>
      <c r="AA56" s="126" t="s">
        <v>759</v>
      </c>
    </row>
    <row r="57" spans="1:27">
      <c r="A57" s="479"/>
      <c r="B57" s="482"/>
      <c r="C57" s="137" t="s">
        <v>849</v>
      </c>
      <c r="D57" s="128" t="s">
        <v>841</v>
      </c>
      <c r="E57" s="128">
        <v>1</v>
      </c>
      <c r="F57" s="128" t="s">
        <v>758</v>
      </c>
      <c r="G57" s="129">
        <v>1.4</v>
      </c>
      <c r="H57" s="158" t="s">
        <v>759</v>
      </c>
      <c r="I57" s="120" t="s">
        <v>760</v>
      </c>
      <c r="J57" s="127"/>
      <c r="K57" s="128"/>
      <c r="L57" s="128"/>
      <c r="M57" s="128" t="s">
        <v>758</v>
      </c>
      <c r="N57" s="132"/>
      <c r="O57" s="126" t="s">
        <v>759</v>
      </c>
      <c r="P57" s="137" t="s">
        <v>849</v>
      </c>
      <c r="Q57" s="128" t="s">
        <v>841</v>
      </c>
      <c r="R57" s="128">
        <v>1</v>
      </c>
      <c r="S57" s="128" t="s">
        <v>758</v>
      </c>
      <c r="T57" s="129">
        <v>1.4</v>
      </c>
      <c r="U57" s="126" t="s">
        <v>759</v>
      </c>
      <c r="V57" s="127"/>
      <c r="W57" s="128"/>
      <c r="X57" s="128"/>
      <c r="Y57" s="128" t="s">
        <v>758</v>
      </c>
      <c r="Z57" s="132"/>
      <c r="AA57" s="126" t="s">
        <v>759</v>
      </c>
    </row>
    <row r="58" spans="1:27">
      <c r="A58" s="479"/>
      <c r="B58" s="482"/>
      <c r="C58" s="137" t="s">
        <v>850</v>
      </c>
      <c r="D58" s="128" t="s">
        <v>841</v>
      </c>
      <c r="E58" s="128">
        <v>2</v>
      </c>
      <c r="F58" s="128" t="s">
        <v>758</v>
      </c>
      <c r="G58" s="129">
        <v>1.2</v>
      </c>
      <c r="H58" s="158" t="s">
        <v>759</v>
      </c>
      <c r="I58" s="120" t="s">
        <v>760</v>
      </c>
      <c r="J58" s="127"/>
      <c r="K58" s="128"/>
      <c r="L58" s="128"/>
      <c r="M58" s="128" t="s">
        <v>758</v>
      </c>
      <c r="N58" s="132"/>
      <c r="O58" s="126" t="s">
        <v>759</v>
      </c>
      <c r="P58" s="137" t="s">
        <v>850</v>
      </c>
      <c r="Q58" s="128" t="s">
        <v>841</v>
      </c>
      <c r="R58" s="128">
        <v>2</v>
      </c>
      <c r="S58" s="128" t="s">
        <v>758</v>
      </c>
      <c r="T58" s="129">
        <v>1.2</v>
      </c>
      <c r="U58" s="126" t="s">
        <v>759</v>
      </c>
      <c r="V58" s="127"/>
      <c r="W58" s="128"/>
      <c r="X58" s="128"/>
      <c r="Y58" s="128" t="s">
        <v>758</v>
      </c>
      <c r="Z58" s="132"/>
      <c r="AA58" s="126" t="s">
        <v>759</v>
      </c>
    </row>
    <row r="59" spans="1:27">
      <c r="A59" s="479"/>
      <c r="B59" s="482"/>
      <c r="C59" s="137" t="s">
        <v>851</v>
      </c>
      <c r="D59" s="128" t="s">
        <v>841</v>
      </c>
      <c r="E59" s="128">
        <v>1</v>
      </c>
      <c r="F59" s="128" t="s">
        <v>758</v>
      </c>
      <c r="G59" s="129">
        <v>1.4</v>
      </c>
      <c r="H59" s="158" t="s">
        <v>759</v>
      </c>
      <c r="I59" s="120" t="s">
        <v>760</v>
      </c>
      <c r="J59" s="127"/>
      <c r="K59" s="128"/>
      <c r="L59" s="128"/>
      <c r="M59" s="128" t="s">
        <v>758</v>
      </c>
      <c r="N59" s="132"/>
      <c r="O59" s="126" t="s">
        <v>759</v>
      </c>
      <c r="P59" s="137" t="s">
        <v>851</v>
      </c>
      <c r="Q59" s="128" t="s">
        <v>841</v>
      </c>
      <c r="R59" s="128">
        <v>1</v>
      </c>
      <c r="S59" s="128" t="s">
        <v>758</v>
      </c>
      <c r="T59" s="129">
        <v>1.4</v>
      </c>
      <c r="U59" s="126" t="s">
        <v>759</v>
      </c>
      <c r="V59" s="127"/>
      <c r="W59" s="128"/>
      <c r="X59" s="128"/>
      <c r="Y59" s="128" t="s">
        <v>758</v>
      </c>
      <c r="Z59" s="132"/>
      <c r="AA59" s="126" t="s">
        <v>759</v>
      </c>
    </row>
    <row r="60" spans="1:27">
      <c r="A60" s="479"/>
      <c r="B60" s="482"/>
      <c r="C60" s="137" t="s">
        <v>852</v>
      </c>
      <c r="D60" s="128" t="s">
        <v>841</v>
      </c>
      <c r="E60" s="128">
        <v>1</v>
      </c>
      <c r="F60" s="128" t="s">
        <v>758</v>
      </c>
      <c r="G60" s="129">
        <v>1.3</v>
      </c>
      <c r="H60" s="158" t="s">
        <v>759</v>
      </c>
      <c r="I60" s="120" t="s">
        <v>760</v>
      </c>
      <c r="J60" s="127"/>
      <c r="K60" s="128"/>
      <c r="L60" s="128"/>
      <c r="M60" s="128" t="s">
        <v>758</v>
      </c>
      <c r="N60" s="132"/>
      <c r="O60" s="126" t="s">
        <v>759</v>
      </c>
      <c r="P60" s="137" t="s">
        <v>852</v>
      </c>
      <c r="Q60" s="128" t="s">
        <v>841</v>
      </c>
      <c r="R60" s="128">
        <v>1</v>
      </c>
      <c r="S60" s="128" t="s">
        <v>758</v>
      </c>
      <c r="T60" s="129">
        <v>1.3</v>
      </c>
      <c r="U60" s="126" t="s">
        <v>759</v>
      </c>
      <c r="V60" s="127"/>
      <c r="W60" s="128"/>
      <c r="X60" s="128"/>
      <c r="Y60" s="128" t="s">
        <v>758</v>
      </c>
      <c r="Z60" s="132"/>
      <c r="AA60" s="126" t="s">
        <v>759</v>
      </c>
    </row>
    <row r="61" spans="1:27">
      <c r="A61" s="479"/>
      <c r="B61" s="482"/>
      <c r="C61" s="161" t="s">
        <v>818</v>
      </c>
      <c r="D61" s="140" t="s">
        <v>853</v>
      </c>
      <c r="E61" s="140">
        <v>28</v>
      </c>
      <c r="F61" s="140" t="s">
        <v>758</v>
      </c>
      <c r="G61" s="122">
        <v>3.06</v>
      </c>
      <c r="H61" s="158" t="s">
        <v>759</v>
      </c>
      <c r="I61" s="120" t="s">
        <v>760</v>
      </c>
      <c r="J61" s="127"/>
      <c r="K61" s="128"/>
      <c r="L61" s="128"/>
      <c r="M61" s="128" t="s">
        <v>758</v>
      </c>
      <c r="N61" s="132"/>
      <c r="O61" s="126" t="s">
        <v>759</v>
      </c>
      <c r="P61" s="161" t="s">
        <v>818</v>
      </c>
      <c r="Q61" s="140" t="s">
        <v>853</v>
      </c>
      <c r="R61" s="140">
        <v>28</v>
      </c>
      <c r="S61" s="140" t="s">
        <v>758</v>
      </c>
      <c r="T61" s="122">
        <v>3.06</v>
      </c>
      <c r="U61" s="126" t="s">
        <v>759</v>
      </c>
      <c r="V61" s="127"/>
      <c r="W61" s="128"/>
      <c r="X61" s="128"/>
      <c r="Y61" s="128" t="s">
        <v>758</v>
      </c>
      <c r="Z61" s="132"/>
      <c r="AA61" s="126" t="s">
        <v>759</v>
      </c>
    </row>
    <row r="62" spans="1:27">
      <c r="A62" s="479"/>
      <c r="B62" s="483"/>
      <c r="C62" s="160" t="s">
        <v>854</v>
      </c>
      <c r="D62" s="91" t="s">
        <v>855</v>
      </c>
      <c r="E62" s="91">
        <v>1</v>
      </c>
      <c r="F62" s="140" t="s">
        <v>758</v>
      </c>
      <c r="G62" s="167">
        <v>4.4400000000000004</v>
      </c>
      <c r="H62" s="158" t="s">
        <v>759</v>
      </c>
      <c r="I62" s="120" t="s">
        <v>760</v>
      </c>
      <c r="J62" s="127"/>
      <c r="K62" s="128"/>
      <c r="L62" s="128"/>
      <c r="M62" s="128" t="s">
        <v>758</v>
      </c>
      <c r="N62" s="129"/>
      <c r="O62" s="126" t="s">
        <v>759</v>
      </c>
      <c r="P62" s="160" t="s">
        <v>854</v>
      </c>
      <c r="Q62" s="91" t="s">
        <v>855</v>
      </c>
      <c r="R62" s="91">
        <v>1</v>
      </c>
      <c r="S62" s="140" t="s">
        <v>758</v>
      </c>
      <c r="T62" s="167">
        <v>4.4400000000000004</v>
      </c>
      <c r="U62" s="126" t="s">
        <v>759</v>
      </c>
      <c r="V62" s="127"/>
      <c r="W62" s="128"/>
      <c r="X62" s="128"/>
      <c r="Y62" s="128" t="s">
        <v>758</v>
      </c>
      <c r="Z62" s="129"/>
      <c r="AA62" s="126" t="s">
        <v>759</v>
      </c>
    </row>
    <row r="63" spans="1:27" ht="18.75">
      <c r="A63" s="480"/>
      <c r="B63" s="115" t="s">
        <v>683</v>
      </c>
      <c r="C63" s="484">
        <f>SUMPRODUCT(E33:E62,G33:G62)</f>
        <v>344.38000000000005</v>
      </c>
      <c r="D63" s="485"/>
      <c r="E63" s="485"/>
      <c r="F63" s="485"/>
      <c r="G63" s="485"/>
      <c r="H63" s="486"/>
      <c r="I63" s="120" t="s">
        <v>760</v>
      </c>
      <c r="J63" s="484">
        <f>SUMPRODUCT(L33:L62,N33:N62)</f>
        <v>0</v>
      </c>
      <c r="K63" s="485"/>
      <c r="L63" s="485"/>
      <c r="M63" s="485"/>
      <c r="N63" s="485"/>
      <c r="O63" s="486"/>
      <c r="P63" s="182" t="s">
        <v>856</v>
      </c>
      <c r="Q63" s="183"/>
      <c r="R63" s="183"/>
      <c r="S63" s="183"/>
      <c r="T63" s="183"/>
      <c r="U63" s="182">
        <f>SUMPRODUCT(R33:R62,T33:T62)</f>
        <v>344.38000000000005</v>
      </c>
      <c r="V63" s="484">
        <f>SUMPRODUCT(X33:X62,Z33:Z62)</f>
        <v>0</v>
      </c>
      <c r="W63" s="485"/>
      <c r="X63" s="485"/>
      <c r="Y63" s="485"/>
      <c r="Z63" s="485"/>
      <c r="AA63" s="486"/>
    </row>
    <row r="64" spans="1:27">
      <c r="A64" s="478" t="s">
        <v>857</v>
      </c>
      <c r="B64" s="481" t="s">
        <v>756</v>
      </c>
      <c r="C64" s="136">
        <v>86811</v>
      </c>
      <c r="D64" s="120" t="s">
        <v>858</v>
      </c>
      <c r="E64" s="112">
        <v>2</v>
      </c>
      <c r="F64" s="120" t="s">
        <v>758</v>
      </c>
      <c r="G64" s="130">
        <v>7.46</v>
      </c>
      <c r="H64" s="131" t="s">
        <v>759</v>
      </c>
      <c r="I64" s="120" t="s">
        <v>760</v>
      </c>
      <c r="J64" s="119"/>
      <c r="K64" s="120"/>
      <c r="L64" s="112"/>
      <c r="M64" s="120" t="s">
        <v>758</v>
      </c>
      <c r="N64" s="133"/>
      <c r="O64" s="131" t="s">
        <v>759</v>
      </c>
      <c r="P64" s="441">
        <v>86811</v>
      </c>
      <c r="Q64" s="120" t="s">
        <v>858</v>
      </c>
      <c r="R64" s="112">
        <v>2</v>
      </c>
      <c r="S64" s="120" t="s">
        <v>758</v>
      </c>
      <c r="T64" s="130">
        <v>7.46</v>
      </c>
      <c r="U64" s="131" t="s">
        <v>759</v>
      </c>
      <c r="V64" s="119"/>
      <c r="W64" s="120"/>
      <c r="X64" s="112"/>
      <c r="Y64" s="120" t="s">
        <v>758</v>
      </c>
      <c r="Z64" s="133"/>
      <c r="AA64" s="131" t="s">
        <v>759</v>
      </c>
    </row>
    <row r="65" spans="1:27">
      <c r="A65" s="479"/>
      <c r="B65" s="482"/>
      <c r="C65" s="139">
        <v>86780</v>
      </c>
      <c r="D65" s="140" t="s">
        <v>859</v>
      </c>
      <c r="E65" s="141">
        <v>2</v>
      </c>
      <c r="F65" s="121" t="s">
        <v>758</v>
      </c>
      <c r="G65" s="129">
        <v>17</v>
      </c>
      <c r="H65" s="134" t="s">
        <v>759</v>
      </c>
      <c r="I65" s="120" t="s">
        <v>760</v>
      </c>
      <c r="J65" s="127"/>
      <c r="K65" s="128"/>
      <c r="L65" s="141"/>
      <c r="M65" s="121" t="s">
        <v>758</v>
      </c>
      <c r="N65" s="132"/>
      <c r="O65" s="134" t="s">
        <v>759</v>
      </c>
      <c r="P65" s="443">
        <v>86780</v>
      </c>
      <c r="Q65" s="140" t="s">
        <v>859</v>
      </c>
      <c r="R65" s="141">
        <v>2</v>
      </c>
      <c r="S65" s="121" t="s">
        <v>758</v>
      </c>
      <c r="T65" s="129">
        <v>17</v>
      </c>
      <c r="U65" s="134" t="s">
        <v>759</v>
      </c>
      <c r="V65" s="127"/>
      <c r="W65" s="128"/>
      <c r="X65" s="141"/>
      <c r="Y65" s="121" t="s">
        <v>758</v>
      </c>
      <c r="Z65" s="132"/>
      <c r="AA65" s="134" t="s">
        <v>759</v>
      </c>
    </row>
    <row r="66" spans="1:27">
      <c r="A66" s="479"/>
      <c r="B66" s="482"/>
      <c r="C66" s="137" t="s">
        <v>860</v>
      </c>
      <c r="D66" s="110" t="s">
        <v>861</v>
      </c>
      <c r="E66" s="128">
        <v>2</v>
      </c>
      <c r="F66" s="121" t="s">
        <v>758</v>
      </c>
      <c r="G66" s="129">
        <v>5.72</v>
      </c>
      <c r="H66" s="134" t="s">
        <v>759</v>
      </c>
      <c r="I66" s="120" t="s">
        <v>760</v>
      </c>
      <c r="J66" s="127"/>
      <c r="K66" s="140"/>
      <c r="L66" s="128"/>
      <c r="M66" s="121" t="s">
        <v>758</v>
      </c>
      <c r="N66" s="132"/>
      <c r="O66" s="134" t="s">
        <v>759</v>
      </c>
      <c r="P66" s="137" t="s">
        <v>860</v>
      </c>
      <c r="Q66" s="110" t="s">
        <v>861</v>
      </c>
      <c r="R66" s="128">
        <v>2</v>
      </c>
      <c r="S66" s="121" t="s">
        <v>758</v>
      </c>
      <c r="T66" s="129">
        <v>5.72</v>
      </c>
      <c r="U66" s="134" t="s">
        <v>759</v>
      </c>
      <c r="V66" s="127"/>
      <c r="W66" s="140"/>
      <c r="X66" s="128"/>
      <c r="Y66" s="121" t="s">
        <v>758</v>
      </c>
      <c r="Z66" s="132"/>
      <c r="AA66" s="134" t="s">
        <v>759</v>
      </c>
    </row>
    <row r="67" spans="1:27">
      <c r="A67" s="479"/>
      <c r="B67" s="482"/>
      <c r="C67" s="137" t="s">
        <v>862</v>
      </c>
      <c r="D67" s="91" t="s">
        <v>863</v>
      </c>
      <c r="E67" s="128">
        <v>2</v>
      </c>
      <c r="F67" s="121" t="s">
        <v>758</v>
      </c>
      <c r="G67" s="129">
        <v>4.9400000000000004</v>
      </c>
      <c r="H67" s="134" t="s">
        <v>759</v>
      </c>
      <c r="I67" s="120" t="s">
        <v>760</v>
      </c>
      <c r="J67" s="127"/>
      <c r="K67" s="128"/>
      <c r="L67" s="128"/>
      <c r="M67" s="121" t="s">
        <v>758</v>
      </c>
      <c r="N67" s="132"/>
      <c r="O67" s="134" t="s">
        <v>759</v>
      </c>
      <c r="P67" s="137" t="s">
        <v>862</v>
      </c>
      <c r="Q67" s="91" t="s">
        <v>863</v>
      </c>
      <c r="R67" s="128">
        <v>2</v>
      </c>
      <c r="S67" s="121" t="s">
        <v>758</v>
      </c>
      <c r="T67" s="129">
        <v>4.9400000000000004</v>
      </c>
      <c r="U67" s="134" t="s">
        <v>759</v>
      </c>
      <c r="V67" s="127"/>
      <c r="W67" s="128"/>
      <c r="X67" s="128"/>
      <c r="Y67" s="121" t="s">
        <v>758</v>
      </c>
      <c r="Z67" s="132"/>
      <c r="AA67" s="134" t="s">
        <v>759</v>
      </c>
    </row>
    <row r="68" spans="1:27">
      <c r="A68" s="479"/>
      <c r="B68" s="482"/>
      <c r="C68" s="137">
        <v>86782</v>
      </c>
      <c r="D68" s="141" t="s">
        <v>864</v>
      </c>
      <c r="E68" s="128">
        <v>2</v>
      </c>
      <c r="F68" s="121" t="s">
        <v>758</v>
      </c>
      <c r="G68" s="129">
        <v>7.66</v>
      </c>
      <c r="H68" s="134" t="s">
        <v>759</v>
      </c>
      <c r="I68" s="120" t="s">
        <v>760</v>
      </c>
      <c r="J68" s="127"/>
      <c r="K68" s="128"/>
      <c r="L68" s="128"/>
      <c r="M68" s="121" t="s">
        <v>758</v>
      </c>
      <c r="N68" s="132"/>
      <c r="O68" s="134" t="s">
        <v>759</v>
      </c>
      <c r="P68" s="127">
        <v>86782</v>
      </c>
      <c r="Q68" s="141" t="s">
        <v>864</v>
      </c>
      <c r="R68" s="128">
        <v>2</v>
      </c>
      <c r="S68" s="121" t="s">
        <v>758</v>
      </c>
      <c r="T68" s="129">
        <v>7.66</v>
      </c>
      <c r="U68" s="134" t="s">
        <v>759</v>
      </c>
      <c r="V68" s="127"/>
      <c r="W68" s="128"/>
      <c r="X68" s="128"/>
      <c r="Y68" s="121" t="s">
        <v>758</v>
      </c>
      <c r="Z68" s="132"/>
      <c r="AA68" s="134" t="s">
        <v>759</v>
      </c>
    </row>
    <row r="69" spans="1:27">
      <c r="A69" s="479"/>
      <c r="B69" s="482"/>
      <c r="C69" s="137">
        <v>86412</v>
      </c>
      <c r="D69" s="128" t="s">
        <v>865</v>
      </c>
      <c r="E69" s="128">
        <v>1</v>
      </c>
      <c r="F69" s="121" t="s">
        <v>758</v>
      </c>
      <c r="G69" s="129">
        <v>97.59</v>
      </c>
      <c r="H69" s="126" t="s">
        <v>759</v>
      </c>
      <c r="I69" s="120" t="s">
        <v>760</v>
      </c>
      <c r="J69" s="127"/>
      <c r="K69" s="128"/>
      <c r="L69" s="128"/>
      <c r="M69" s="121" t="s">
        <v>758</v>
      </c>
      <c r="N69" s="132"/>
      <c r="O69" s="134" t="s">
        <v>759</v>
      </c>
      <c r="P69" s="127">
        <v>86412</v>
      </c>
      <c r="Q69" s="128" t="s">
        <v>865</v>
      </c>
      <c r="R69" s="128">
        <v>1</v>
      </c>
      <c r="S69" s="121" t="s">
        <v>758</v>
      </c>
      <c r="T69" s="444">
        <v>225</v>
      </c>
      <c r="U69" s="134" t="s">
        <v>759</v>
      </c>
      <c r="V69" s="127"/>
      <c r="W69" s="128"/>
      <c r="X69" s="128"/>
      <c r="Y69" s="121" t="s">
        <v>758</v>
      </c>
      <c r="Z69" s="132"/>
      <c r="AA69" s="134" t="s">
        <v>759</v>
      </c>
    </row>
    <row r="70" spans="1:27">
      <c r="A70" s="479"/>
      <c r="B70" s="482"/>
      <c r="C70" s="138">
        <v>86411</v>
      </c>
      <c r="D70" s="140" t="s">
        <v>866</v>
      </c>
      <c r="E70" s="110">
        <v>1</v>
      </c>
      <c r="F70" s="121" t="s">
        <v>758</v>
      </c>
      <c r="G70" s="122">
        <v>128.41</v>
      </c>
      <c r="H70" s="126" t="s">
        <v>759</v>
      </c>
      <c r="I70" s="120" t="s">
        <v>760</v>
      </c>
      <c r="J70" s="127"/>
      <c r="K70" s="128"/>
      <c r="L70" s="128"/>
      <c r="M70" s="140" t="s">
        <v>758</v>
      </c>
      <c r="N70" s="132"/>
      <c r="O70" s="134" t="s">
        <v>759</v>
      </c>
      <c r="P70" s="118">
        <v>86411</v>
      </c>
      <c r="Q70" s="140" t="s">
        <v>866</v>
      </c>
      <c r="R70" s="110">
        <v>1</v>
      </c>
      <c r="S70" s="121" t="s">
        <v>758</v>
      </c>
      <c r="T70" s="445">
        <v>225</v>
      </c>
      <c r="U70" s="134" t="s">
        <v>759</v>
      </c>
      <c r="V70" s="127"/>
      <c r="W70" s="128"/>
      <c r="X70" s="128"/>
      <c r="Y70" s="140" t="s">
        <v>758</v>
      </c>
      <c r="Z70" s="132"/>
      <c r="AA70" s="134" t="s">
        <v>759</v>
      </c>
    </row>
    <row r="71" spans="1:27">
      <c r="A71" s="479"/>
      <c r="B71" s="483"/>
      <c r="C71" s="91" t="s">
        <v>867</v>
      </c>
      <c r="D71" s="91" t="s">
        <v>379</v>
      </c>
      <c r="E71" s="91">
        <v>2</v>
      </c>
      <c r="F71" s="121" t="s">
        <v>758</v>
      </c>
      <c r="G71" s="122">
        <v>0.68</v>
      </c>
      <c r="H71" s="126" t="s">
        <v>759</v>
      </c>
      <c r="I71" s="120" t="s">
        <v>760</v>
      </c>
      <c r="J71" s="118"/>
      <c r="K71" s="110"/>
      <c r="L71" s="110"/>
      <c r="M71" s="110" t="s">
        <v>758</v>
      </c>
      <c r="N71" s="122"/>
      <c r="O71" s="126" t="s">
        <v>759</v>
      </c>
      <c r="P71" s="91" t="s">
        <v>867</v>
      </c>
      <c r="Q71" s="91" t="s">
        <v>379</v>
      </c>
      <c r="R71" s="91">
        <v>2</v>
      </c>
      <c r="S71" s="121" t="s">
        <v>758</v>
      </c>
      <c r="T71" s="122">
        <v>0.68</v>
      </c>
      <c r="U71" s="126" t="s">
        <v>759</v>
      </c>
      <c r="V71" s="118"/>
      <c r="W71" s="110"/>
      <c r="X71" s="110"/>
      <c r="Y71" s="110" t="s">
        <v>758</v>
      </c>
      <c r="Z71" s="122"/>
      <c r="AA71" s="126" t="s">
        <v>759</v>
      </c>
    </row>
    <row r="72" spans="1:27" ht="18.75">
      <c r="A72" s="480"/>
      <c r="B72" s="115" t="s">
        <v>683</v>
      </c>
      <c r="C72" s="484">
        <f>SUMPRODUCT(E64:E71,G64:G71)</f>
        <v>312.92</v>
      </c>
      <c r="D72" s="485"/>
      <c r="E72" s="485"/>
      <c r="F72" s="485"/>
      <c r="G72" s="485"/>
      <c r="H72" s="486"/>
      <c r="I72" s="120" t="s">
        <v>760</v>
      </c>
      <c r="J72" s="484">
        <f>SUMPRODUCT(L64:L71,N64:N71)</f>
        <v>0</v>
      </c>
      <c r="K72" s="485"/>
      <c r="L72" s="485"/>
      <c r="M72" s="485"/>
      <c r="N72" s="485"/>
      <c r="O72" s="486"/>
      <c r="P72" s="484">
        <f>SUMPRODUCT(R64:R71,T64:T71)</f>
        <v>536.91999999999996</v>
      </c>
      <c r="Q72" s="485"/>
      <c r="R72" s="485"/>
      <c r="S72" s="485"/>
      <c r="T72" s="485"/>
      <c r="U72" s="486"/>
      <c r="V72" s="484">
        <f>SUMPRODUCT(X64:X71,Z64:Z71)</f>
        <v>0</v>
      </c>
      <c r="W72" s="485"/>
      <c r="X72" s="485"/>
      <c r="Y72" s="485"/>
      <c r="Z72" s="485"/>
      <c r="AA72" s="486"/>
    </row>
    <row r="73" spans="1:27">
      <c r="A73" s="478" t="s">
        <v>615</v>
      </c>
      <c r="B73" s="481" t="s">
        <v>756</v>
      </c>
      <c r="C73" s="136" t="s">
        <v>145</v>
      </c>
      <c r="D73" s="120" t="s">
        <v>868</v>
      </c>
      <c r="E73" s="112">
        <v>1</v>
      </c>
      <c r="F73" s="120" t="s">
        <v>758</v>
      </c>
      <c r="G73" s="130">
        <v>112.47</v>
      </c>
      <c r="H73" s="131" t="s">
        <v>759</v>
      </c>
      <c r="I73" s="120" t="s">
        <v>760</v>
      </c>
      <c r="J73" s="119"/>
      <c r="K73" s="120"/>
      <c r="L73" s="112"/>
      <c r="M73" s="120" t="s">
        <v>758</v>
      </c>
      <c r="N73" s="133"/>
      <c r="O73" s="131" t="s">
        <v>759</v>
      </c>
      <c r="P73" s="142" t="str">
        <f>RFQ!J34</f>
        <v>Tole supérieur train D3S</v>
      </c>
      <c r="Q73" s="142" t="str">
        <f>RFQ!K34</f>
        <v>086xxx</v>
      </c>
      <c r="R73" s="112">
        <v>1</v>
      </c>
      <c r="S73" s="120" t="s">
        <v>758</v>
      </c>
      <c r="T73" s="133">
        <f>RFQ!P34</f>
        <v>24.78</v>
      </c>
      <c r="U73" s="131" t="s">
        <v>759</v>
      </c>
      <c r="V73" s="119"/>
      <c r="W73" s="120"/>
      <c r="X73" s="112"/>
      <c r="Y73" s="120" t="s">
        <v>758</v>
      </c>
      <c r="Z73" s="133"/>
      <c r="AA73" s="131" t="s">
        <v>759</v>
      </c>
    </row>
    <row r="74" spans="1:27">
      <c r="A74" s="479"/>
      <c r="B74" s="482"/>
      <c r="C74" s="139" t="s">
        <v>270</v>
      </c>
      <c r="D74" s="140" t="s">
        <v>869</v>
      </c>
      <c r="E74" s="141">
        <v>1</v>
      </c>
      <c r="F74" s="121" t="s">
        <v>758</v>
      </c>
      <c r="G74" s="129">
        <v>20.41</v>
      </c>
      <c r="H74" s="134" t="s">
        <v>759</v>
      </c>
      <c r="I74" s="120" t="s">
        <v>760</v>
      </c>
      <c r="J74" s="127"/>
      <c r="K74" s="128"/>
      <c r="L74" s="141"/>
      <c r="M74" s="121" t="s">
        <v>758</v>
      </c>
      <c r="N74" s="132"/>
      <c r="O74" s="134" t="s">
        <v>759</v>
      </c>
      <c r="P74" s="142" t="str">
        <f>RFQ!J35</f>
        <v>Carter inf Train D3S</v>
      </c>
      <c r="Q74" s="142" t="str">
        <f>RFQ!K35</f>
        <v>086649_10xxxx</v>
      </c>
      <c r="R74" s="141">
        <v>1</v>
      </c>
      <c r="S74" s="121" t="s">
        <v>758</v>
      </c>
      <c r="T74" s="133">
        <f>RFQ!P35</f>
        <v>25.05</v>
      </c>
      <c r="U74" s="134" t="s">
        <v>759</v>
      </c>
      <c r="V74" s="127"/>
      <c r="W74" s="128"/>
      <c r="X74" s="141"/>
      <c r="Y74" s="121" t="s">
        <v>758</v>
      </c>
      <c r="Z74" s="132"/>
      <c r="AA74" s="134" t="s">
        <v>759</v>
      </c>
    </row>
    <row r="75" spans="1:27">
      <c r="A75" s="479"/>
      <c r="B75" s="482"/>
      <c r="C75" s="137" t="s">
        <v>198</v>
      </c>
      <c r="D75" s="110" t="s">
        <v>870</v>
      </c>
      <c r="E75" s="128">
        <v>1</v>
      </c>
      <c r="F75" s="121" t="s">
        <v>758</v>
      </c>
      <c r="G75" s="129">
        <v>17.41</v>
      </c>
      <c r="H75" s="134" t="s">
        <v>759</v>
      </c>
      <c r="I75" s="120" t="s">
        <v>760</v>
      </c>
      <c r="J75" s="127"/>
      <c r="K75" s="140"/>
      <c r="L75" s="128"/>
      <c r="M75" s="121" t="s">
        <v>758</v>
      </c>
      <c r="N75" s="132"/>
      <c r="O75" s="134" t="s">
        <v>759</v>
      </c>
      <c r="P75" s="127"/>
      <c r="Q75" s="140"/>
      <c r="R75" s="128"/>
      <c r="S75" s="121" t="s">
        <v>758</v>
      </c>
      <c r="T75" s="132"/>
      <c r="U75" s="134" t="s">
        <v>759</v>
      </c>
      <c r="V75" s="127"/>
      <c r="W75" s="140"/>
      <c r="X75" s="128"/>
      <c r="Y75" s="121" t="s">
        <v>758</v>
      </c>
      <c r="Z75" s="132"/>
      <c r="AA75" s="134" t="s">
        <v>759</v>
      </c>
    </row>
    <row r="76" spans="1:27">
      <c r="A76" s="479"/>
      <c r="B76" s="482"/>
      <c r="C76" s="137" t="s">
        <v>871</v>
      </c>
      <c r="D76" s="128" t="s">
        <v>872</v>
      </c>
      <c r="E76" s="128">
        <v>1</v>
      </c>
      <c r="F76" s="121" t="s">
        <v>758</v>
      </c>
      <c r="G76" s="129">
        <v>0</v>
      </c>
      <c r="H76" s="126" t="s">
        <v>759</v>
      </c>
      <c r="I76" s="120" t="s">
        <v>760</v>
      </c>
      <c r="J76" s="127"/>
      <c r="K76" s="128"/>
      <c r="L76" s="128"/>
      <c r="M76" s="121" t="s">
        <v>758</v>
      </c>
      <c r="N76" s="132"/>
      <c r="O76" s="126" t="s">
        <v>759</v>
      </c>
      <c r="P76" s="127"/>
      <c r="Q76" s="128"/>
      <c r="R76" s="128"/>
      <c r="S76" s="121" t="s">
        <v>758</v>
      </c>
      <c r="T76" s="132"/>
      <c r="U76" s="126" t="s">
        <v>759</v>
      </c>
      <c r="V76" s="127"/>
      <c r="W76" s="128"/>
      <c r="X76" s="128"/>
      <c r="Y76" s="121" t="s">
        <v>758</v>
      </c>
      <c r="Z76" s="132"/>
      <c r="AA76" s="126" t="s">
        <v>759</v>
      </c>
    </row>
    <row r="77" spans="1:27">
      <c r="A77" s="479"/>
      <c r="B77" s="483"/>
      <c r="C77" s="138" t="s">
        <v>873</v>
      </c>
      <c r="D77" s="91" t="s">
        <v>874</v>
      </c>
      <c r="E77" s="110">
        <v>1</v>
      </c>
      <c r="F77" s="121" t="s">
        <v>758</v>
      </c>
      <c r="G77" s="122">
        <v>0</v>
      </c>
      <c r="H77" s="126" t="s">
        <v>759</v>
      </c>
      <c r="I77" s="120" t="s">
        <v>760</v>
      </c>
      <c r="J77" s="118"/>
      <c r="K77" s="110"/>
      <c r="L77" s="110"/>
      <c r="M77" s="121" t="s">
        <v>758</v>
      </c>
      <c r="N77" s="122"/>
      <c r="O77" s="126" t="s">
        <v>759</v>
      </c>
      <c r="P77" s="118"/>
      <c r="Q77" s="110"/>
      <c r="R77" s="110"/>
      <c r="S77" s="121" t="s">
        <v>758</v>
      </c>
      <c r="T77" s="122"/>
      <c r="U77" s="126" t="s">
        <v>759</v>
      </c>
      <c r="V77" s="118"/>
      <c r="W77" s="110"/>
      <c r="X77" s="110"/>
      <c r="Y77" s="121" t="s">
        <v>758</v>
      </c>
      <c r="Z77" s="122"/>
      <c r="AA77" s="126" t="s">
        <v>759</v>
      </c>
    </row>
    <row r="78" spans="1:27" ht="18.75">
      <c r="A78" s="480"/>
      <c r="B78" s="115" t="s">
        <v>683</v>
      </c>
      <c r="C78" s="484">
        <f>SUMPRODUCT(E73:E77,G73:G77)</f>
        <v>150.29</v>
      </c>
      <c r="D78" s="485"/>
      <c r="E78" s="485"/>
      <c r="F78" s="485"/>
      <c r="G78" s="485"/>
      <c r="H78" s="486"/>
      <c r="I78" s="120" t="s">
        <v>760</v>
      </c>
      <c r="J78" s="484">
        <f>SUMPRODUCT(L73:L77,N73:N77)</f>
        <v>0</v>
      </c>
      <c r="K78" s="485"/>
      <c r="L78" s="485"/>
      <c r="M78" s="485"/>
      <c r="N78" s="485"/>
      <c r="O78" s="486"/>
      <c r="P78" s="484">
        <f>SUMPRODUCT(R73:R77,T73:T77)</f>
        <v>49.83</v>
      </c>
      <c r="Q78" s="485"/>
      <c r="R78" s="485"/>
      <c r="S78" s="485"/>
      <c r="T78" s="485"/>
      <c r="U78" s="486"/>
      <c r="V78" s="484">
        <f>SUMPRODUCT(X73:X77,Z73:Z77)</f>
        <v>0</v>
      </c>
      <c r="W78" s="485"/>
      <c r="X78" s="485"/>
      <c r="Y78" s="485"/>
      <c r="Z78" s="485"/>
      <c r="AA78" s="486"/>
    </row>
    <row r="79" spans="1:27">
      <c r="A79" s="478" t="s">
        <v>875</v>
      </c>
      <c r="B79" s="481" t="s">
        <v>756</v>
      </c>
      <c r="C79" s="136"/>
      <c r="D79" s="120"/>
      <c r="E79" s="112"/>
      <c r="F79" s="120" t="s">
        <v>758</v>
      </c>
      <c r="G79" s="130"/>
      <c r="H79" s="131" t="s">
        <v>759</v>
      </c>
      <c r="I79" s="120" t="s">
        <v>760</v>
      </c>
      <c r="J79" s="119"/>
      <c r="K79" s="120"/>
      <c r="L79" s="112"/>
      <c r="M79" s="120" t="s">
        <v>758</v>
      </c>
      <c r="N79" s="133"/>
      <c r="O79" s="131" t="s">
        <v>759</v>
      </c>
      <c r="P79" s="119"/>
      <c r="Q79" s="120"/>
      <c r="R79" s="112"/>
      <c r="S79" s="120" t="s">
        <v>758</v>
      </c>
      <c r="T79" s="133"/>
      <c r="U79" s="131" t="s">
        <v>759</v>
      </c>
      <c r="V79" s="119"/>
      <c r="W79" s="120"/>
      <c r="X79" s="112"/>
      <c r="Y79" s="120" t="s">
        <v>758</v>
      </c>
      <c r="Z79" s="133"/>
      <c r="AA79" s="131" t="s">
        <v>759</v>
      </c>
    </row>
    <row r="80" spans="1:27">
      <c r="A80" s="479"/>
      <c r="B80" s="482"/>
      <c r="C80" s="139"/>
      <c r="D80" s="140"/>
      <c r="E80" s="141"/>
      <c r="F80" s="121" t="s">
        <v>758</v>
      </c>
      <c r="G80" s="129"/>
      <c r="H80" s="134" t="s">
        <v>759</v>
      </c>
      <c r="I80" s="120" t="s">
        <v>760</v>
      </c>
      <c r="J80" s="127"/>
      <c r="K80" s="128"/>
      <c r="L80" s="141"/>
      <c r="M80" s="121" t="s">
        <v>758</v>
      </c>
      <c r="N80" s="132"/>
      <c r="O80" s="134" t="s">
        <v>759</v>
      </c>
      <c r="P80" s="127"/>
      <c r="Q80" s="128"/>
      <c r="R80" s="141"/>
      <c r="S80" s="121" t="s">
        <v>758</v>
      </c>
      <c r="T80" s="132"/>
      <c r="U80" s="134" t="s">
        <v>759</v>
      </c>
      <c r="V80" s="127"/>
      <c r="W80" s="128"/>
      <c r="X80" s="141"/>
      <c r="Y80" s="121" t="s">
        <v>758</v>
      </c>
      <c r="Z80" s="132"/>
      <c r="AA80" s="134" t="s">
        <v>759</v>
      </c>
    </row>
    <row r="81" spans="1:27">
      <c r="A81" s="479"/>
      <c r="B81" s="482"/>
      <c r="C81" s="137"/>
      <c r="D81" s="110"/>
      <c r="E81" s="128"/>
      <c r="F81" s="121" t="s">
        <v>758</v>
      </c>
      <c r="G81" s="129"/>
      <c r="H81" s="134" t="s">
        <v>759</v>
      </c>
      <c r="I81" s="120" t="s">
        <v>760</v>
      </c>
      <c r="J81" s="127"/>
      <c r="K81" s="140"/>
      <c r="L81" s="128"/>
      <c r="M81" s="121" t="s">
        <v>758</v>
      </c>
      <c r="N81" s="132"/>
      <c r="O81" s="134" t="s">
        <v>759</v>
      </c>
      <c r="P81" s="127"/>
      <c r="Q81" s="140"/>
      <c r="R81" s="128"/>
      <c r="S81" s="121" t="s">
        <v>758</v>
      </c>
      <c r="T81" s="132"/>
      <c r="U81" s="134" t="s">
        <v>759</v>
      </c>
      <c r="V81" s="127"/>
      <c r="W81" s="140"/>
      <c r="X81" s="128"/>
      <c r="Y81" s="121" t="s">
        <v>758</v>
      </c>
      <c r="Z81" s="132"/>
      <c r="AA81" s="134" t="s">
        <v>759</v>
      </c>
    </row>
    <row r="82" spans="1:27">
      <c r="A82" s="479"/>
      <c r="B82" s="482"/>
      <c r="C82" s="137"/>
      <c r="D82" s="128"/>
      <c r="E82" s="128"/>
      <c r="F82" s="121" t="s">
        <v>758</v>
      </c>
      <c r="G82" s="129"/>
      <c r="H82" s="126" t="s">
        <v>759</v>
      </c>
      <c r="I82" s="120" t="s">
        <v>760</v>
      </c>
      <c r="J82" s="127"/>
      <c r="K82" s="128"/>
      <c r="L82" s="128"/>
      <c r="M82" s="121" t="s">
        <v>758</v>
      </c>
      <c r="N82" s="132"/>
      <c r="O82" s="126" t="s">
        <v>759</v>
      </c>
      <c r="P82" s="127"/>
      <c r="Q82" s="128"/>
      <c r="R82" s="128"/>
      <c r="S82" s="121" t="s">
        <v>758</v>
      </c>
      <c r="T82" s="132"/>
      <c r="U82" s="126" t="s">
        <v>759</v>
      </c>
      <c r="V82" s="127"/>
      <c r="W82" s="128"/>
      <c r="X82" s="128"/>
      <c r="Y82" s="121" t="s">
        <v>758</v>
      </c>
      <c r="Z82" s="132"/>
      <c r="AA82" s="126" t="s">
        <v>759</v>
      </c>
    </row>
    <row r="83" spans="1:27">
      <c r="A83" s="479"/>
      <c r="B83" s="483"/>
      <c r="C83" s="138"/>
      <c r="E83" s="110"/>
      <c r="F83" s="121" t="s">
        <v>758</v>
      </c>
      <c r="G83" s="122"/>
      <c r="H83" s="126" t="s">
        <v>759</v>
      </c>
      <c r="I83" s="120" t="s">
        <v>760</v>
      </c>
      <c r="J83" s="118"/>
      <c r="K83" s="110"/>
      <c r="L83" s="110"/>
      <c r="M83" s="121" t="s">
        <v>758</v>
      </c>
      <c r="N83" s="122"/>
      <c r="O83" s="126" t="s">
        <v>759</v>
      </c>
      <c r="P83" s="118"/>
      <c r="Q83" s="110"/>
      <c r="R83" s="110"/>
      <c r="S83" s="121" t="s">
        <v>758</v>
      </c>
      <c r="T83" s="122"/>
      <c r="U83" s="126" t="s">
        <v>759</v>
      </c>
      <c r="V83" s="118"/>
      <c r="W83" s="110"/>
      <c r="X83" s="110"/>
      <c r="Y83" s="121" t="s">
        <v>758</v>
      </c>
      <c r="Z83" s="122"/>
      <c r="AA83" s="126" t="s">
        <v>759</v>
      </c>
    </row>
    <row r="84" spans="1:27" ht="18.75">
      <c r="A84" s="480"/>
      <c r="B84" s="115" t="s">
        <v>683</v>
      </c>
      <c r="C84" s="484">
        <f>SUMPRODUCT(E79:E83,G79:G83)</f>
        <v>0</v>
      </c>
      <c r="D84" s="485"/>
      <c r="E84" s="485"/>
      <c r="F84" s="485"/>
      <c r="G84" s="485"/>
      <c r="H84" s="486"/>
      <c r="I84" s="157"/>
      <c r="J84" s="484">
        <f>SUMPRODUCT(L79:L83,N79:N83)</f>
        <v>0</v>
      </c>
      <c r="K84" s="485"/>
      <c r="L84" s="485"/>
      <c r="M84" s="485"/>
      <c r="N84" s="485"/>
      <c r="O84" s="486"/>
      <c r="P84" s="484">
        <f>SUMPRODUCT(R79:R83,T79:T83)</f>
        <v>0</v>
      </c>
      <c r="Q84" s="485"/>
      <c r="R84" s="485"/>
      <c r="S84" s="485"/>
      <c r="T84" s="485"/>
      <c r="U84" s="486"/>
      <c r="V84" s="484">
        <f>SUMPRODUCT(X79:X83,Z79:Z83)</f>
        <v>0</v>
      </c>
      <c r="W84" s="485"/>
      <c r="X84" s="485"/>
      <c r="Y84" s="485"/>
      <c r="Z84" s="485"/>
      <c r="AA84" s="486"/>
    </row>
  </sheetData>
  <mergeCells count="50">
    <mergeCell ref="V63:AA63"/>
    <mergeCell ref="P72:U72"/>
    <mergeCell ref="P78:U78"/>
    <mergeCell ref="P84:U84"/>
    <mergeCell ref="V2:Y2"/>
    <mergeCell ref="V72:AA72"/>
    <mergeCell ref="V78:AA78"/>
    <mergeCell ref="V84:AA84"/>
    <mergeCell ref="P2:S2"/>
    <mergeCell ref="T2:U2"/>
    <mergeCell ref="P24:U24"/>
    <mergeCell ref="P27:U27"/>
    <mergeCell ref="P32:U32"/>
    <mergeCell ref="Z2:AA2"/>
    <mergeCell ref="V24:AA24"/>
    <mergeCell ref="V27:AA27"/>
    <mergeCell ref="V32:AA32"/>
    <mergeCell ref="A3:A24"/>
    <mergeCell ref="B3:B23"/>
    <mergeCell ref="C24:H24"/>
    <mergeCell ref="J24:O24"/>
    <mergeCell ref="A25:A27"/>
    <mergeCell ref="B25:B26"/>
    <mergeCell ref="C27:H27"/>
    <mergeCell ref="J27:O27"/>
    <mergeCell ref="A28:A32"/>
    <mergeCell ref="B28:B31"/>
    <mergeCell ref="C32:H32"/>
    <mergeCell ref="J32:O32"/>
    <mergeCell ref="A1:H1"/>
    <mergeCell ref="C2:F2"/>
    <mergeCell ref="G2:H2"/>
    <mergeCell ref="J2:M2"/>
    <mergeCell ref="N2:O2"/>
    <mergeCell ref="A33:A63"/>
    <mergeCell ref="B33:B62"/>
    <mergeCell ref="C63:H63"/>
    <mergeCell ref="J63:O63"/>
    <mergeCell ref="A64:A72"/>
    <mergeCell ref="B64:B71"/>
    <mergeCell ref="C72:H72"/>
    <mergeCell ref="J72:O72"/>
    <mergeCell ref="A73:A78"/>
    <mergeCell ref="B73:B77"/>
    <mergeCell ref="C78:H78"/>
    <mergeCell ref="J78:O78"/>
    <mergeCell ref="A79:A84"/>
    <mergeCell ref="B79:B83"/>
    <mergeCell ref="C84:H84"/>
    <mergeCell ref="J84:O84"/>
  </mergeCells>
  <phoneticPr fontId="5" type="noConversion"/>
  <pageMargins left="0.7" right="0.7" top="0.75" bottom="0.75" header="0.3" footer="0.3"/>
  <pageSetup paperSize="9" fitToHeight="0"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D1684-8AFA-4B7A-B27E-40F705489544}">
  <sheetPr>
    <pageSetUpPr fitToPage="1"/>
  </sheetPr>
  <dimension ref="A1:AA64"/>
  <sheetViews>
    <sheetView zoomScaleNormal="100" workbookViewId="0">
      <selection activeCell="D7" sqref="D7"/>
    </sheetView>
  </sheetViews>
  <sheetFormatPr defaultColWidth="11.42578125" defaultRowHeight="15"/>
  <cols>
    <col min="1" max="1" width="28.42578125" style="91" customWidth="1"/>
    <col min="2" max="2" width="14.7109375" style="91" customWidth="1"/>
    <col min="3" max="3" width="15.7109375" style="91" customWidth="1"/>
    <col min="4" max="4" width="45.7109375" style="91" customWidth="1"/>
    <col min="5" max="5" width="5.7109375" style="91" customWidth="1"/>
    <col min="6" max="8" width="10.7109375" style="91" customWidth="1"/>
    <col min="9" max="9" width="22.42578125" style="91" customWidth="1"/>
    <col min="10" max="10" width="15.7109375" style="91" customWidth="1"/>
    <col min="11" max="11" width="45.7109375" style="91" customWidth="1"/>
    <col min="12" max="12" width="9.85546875" style="91" customWidth="1"/>
    <col min="13" max="15" width="10.7109375" style="91" customWidth="1"/>
    <col min="16" max="16" width="43.28515625" style="91" bestFit="1" customWidth="1"/>
    <col min="17" max="17" width="47.5703125" style="91" bestFit="1" customWidth="1"/>
    <col min="18" max="20" width="11.42578125" style="91"/>
    <col min="21" max="21" width="12.28515625" style="91" bestFit="1" customWidth="1"/>
    <col min="22" max="22" width="11.42578125" style="91"/>
    <col min="23" max="23" width="21.5703125" style="91" bestFit="1" customWidth="1"/>
    <col min="24" max="16384" width="11.42578125" style="91"/>
  </cols>
  <sheetData>
    <row r="1" spans="1:27" ht="27" customHeight="1">
      <c r="A1" s="469" t="s">
        <v>750</v>
      </c>
      <c r="B1" s="469"/>
      <c r="C1" s="469"/>
      <c r="D1" s="469"/>
      <c r="E1" s="469"/>
      <c r="F1" s="469"/>
      <c r="G1" s="469"/>
      <c r="H1" s="469"/>
      <c r="I1" s="156"/>
      <c r="N1" s="500" t="s">
        <v>876</v>
      </c>
      <c r="O1" s="500"/>
      <c r="P1" s="91" t="s">
        <v>877</v>
      </c>
    </row>
    <row r="2" spans="1:27" ht="57" customHeight="1">
      <c r="C2" s="487" t="s">
        <v>677</v>
      </c>
      <c r="D2" s="488"/>
      <c r="E2" s="488"/>
      <c r="F2" s="488"/>
      <c r="G2" s="489">
        <f>C16+C19+C24+C44+C52+C58+C64</f>
        <v>1735.94</v>
      </c>
      <c r="H2" s="490"/>
      <c r="I2" s="202" t="s">
        <v>878</v>
      </c>
      <c r="J2" s="501" t="s">
        <v>879</v>
      </c>
      <c r="K2" s="502"/>
      <c r="L2" s="429" t="s">
        <v>876</v>
      </c>
      <c r="M2" s="429"/>
      <c r="N2" s="493">
        <f>J16+J19+J24+J44+J52+J58+J64</f>
        <v>356.15000000000009</v>
      </c>
      <c r="O2" s="499"/>
      <c r="P2" s="501" t="s">
        <v>879</v>
      </c>
      <c r="Q2" s="502"/>
      <c r="R2" s="429" t="s">
        <v>880</v>
      </c>
      <c r="S2" s="429"/>
      <c r="T2" s="493">
        <f>P16+P19+P24+U44+P52+P58+P64</f>
        <v>1404.1699999999998</v>
      </c>
      <c r="U2" s="499"/>
      <c r="V2" s="501" t="s">
        <v>879</v>
      </c>
      <c r="W2" s="502"/>
      <c r="X2" s="429" t="s">
        <v>877</v>
      </c>
      <c r="Y2" s="429"/>
      <c r="Z2" s="493">
        <f>V16+V19+V24+V44+V52+V58+V64</f>
        <v>176.81999999999996</v>
      </c>
      <c r="AA2" s="499"/>
    </row>
    <row r="3" spans="1:27" ht="15.75">
      <c r="A3" s="478" t="s">
        <v>755</v>
      </c>
      <c r="B3" s="481" t="s">
        <v>756</v>
      </c>
      <c r="C3" s="136" t="s">
        <v>881</v>
      </c>
      <c r="D3" s="120" t="s">
        <v>250</v>
      </c>
      <c r="E3" s="112">
        <v>1</v>
      </c>
      <c r="F3" s="120" t="s">
        <v>882</v>
      </c>
      <c r="G3" s="130">
        <v>24</v>
      </c>
      <c r="H3" s="131" t="s">
        <v>759</v>
      </c>
      <c r="I3" s="120" t="s">
        <v>760</v>
      </c>
      <c r="J3" s="430" t="s">
        <v>883</v>
      </c>
      <c r="K3" s="439" t="s">
        <v>884</v>
      </c>
      <c r="L3" s="430">
        <v>1</v>
      </c>
      <c r="M3" s="120" t="s">
        <v>882</v>
      </c>
      <c r="N3" s="433">
        <v>23.76</v>
      </c>
      <c r="O3" s="131" t="s">
        <v>759</v>
      </c>
      <c r="P3" s="430" t="s">
        <v>883</v>
      </c>
      <c r="Q3" s="439" t="s">
        <v>884</v>
      </c>
      <c r="R3" s="430">
        <v>1</v>
      </c>
      <c r="S3" s="120" t="s">
        <v>882</v>
      </c>
      <c r="T3" s="433">
        <v>15.39</v>
      </c>
      <c r="U3" s="131" t="s">
        <v>759</v>
      </c>
      <c r="V3" s="430" t="s">
        <v>883</v>
      </c>
      <c r="W3" s="439" t="s">
        <v>884</v>
      </c>
      <c r="X3" s="430">
        <v>1</v>
      </c>
      <c r="Y3" s="120" t="s">
        <v>882</v>
      </c>
      <c r="Z3" s="433">
        <v>12.48</v>
      </c>
      <c r="AA3" s="131" t="s">
        <v>759</v>
      </c>
    </row>
    <row r="4" spans="1:27" ht="15.75">
      <c r="A4" s="479"/>
      <c r="B4" s="482"/>
      <c r="C4" s="139" t="s">
        <v>885</v>
      </c>
      <c r="D4" s="140" t="s">
        <v>248</v>
      </c>
      <c r="E4" s="141">
        <v>1</v>
      </c>
      <c r="F4" s="121" t="s">
        <v>882</v>
      </c>
      <c r="G4" s="129">
        <v>25</v>
      </c>
      <c r="H4" s="134" t="s">
        <v>759</v>
      </c>
      <c r="I4" s="120" t="s">
        <v>760</v>
      </c>
      <c r="J4" s="431" t="s">
        <v>886</v>
      </c>
      <c r="K4" s="437" t="s">
        <v>887</v>
      </c>
      <c r="L4" s="431">
        <v>1</v>
      </c>
      <c r="M4" s="121" t="s">
        <v>882</v>
      </c>
      <c r="N4" s="433">
        <v>40.53</v>
      </c>
      <c r="O4" s="134" t="s">
        <v>759</v>
      </c>
      <c r="P4" s="431" t="s">
        <v>886</v>
      </c>
      <c r="Q4" s="437" t="s">
        <v>887</v>
      </c>
      <c r="R4" s="431">
        <v>1</v>
      </c>
      <c r="S4" s="121" t="s">
        <v>882</v>
      </c>
      <c r="T4" s="433">
        <v>27.57</v>
      </c>
      <c r="U4" s="134" t="s">
        <v>759</v>
      </c>
      <c r="V4" s="431" t="s">
        <v>886</v>
      </c>
      <c r="W4" s="437" t="s">
        <v>887</v>
      </c>
      <c r="X4" s="431">
        <v>1</v>
      </c>
      <c r="Y4" s="121" t="s">
        <v>882</v>
      </c>
      <c r="Z4" s="433">
        <v>17.75</v>
      </c>
      <c r="AA4" s="134" t="s">
        <v>759</v>
      </c>
    </row>
    <row r="5" spans="1:27" ht="15.75">
      <c r="A5" s="479"/>
      <c r="B5" s="482"/>
      <c r="C5" s="139" t="s">
        <v>888</v>
      </c>
      <c r="D5" s="140" t="s">
        <v>240</v>
      </c>
      <c r="E5" s="128">
        <v>1</v>
      </c>
      <c r="F5" s="121" t="s">
        <v>882</v>
      </c>
      <c r="G5" s="129">
        <v>27</v>
      </c>
      <c r="H5" s="134" t="s">
        <v>759</v>
      </c>
      <c r="I5" s="120" t="s">
        <v>760</v>
      </c>
      <c r="J5" s="431" t="s">
        <v>889</v>
      </c>
      <c r="K5" s="437" t="s">
        <v>890</v>
      </c>
      <c r="L5" s="431">
        <v>1</v>
      </c>
      <c r="M5" s="121" t="s">
        <v>882</v>
      </c>
      <c r="N5" s="433">
        <v>31.44</v>
      </c>
      <c r="O5" s="134" t="s">
        <v>759</v>
      </c>
      <c r="P5" s="431" t="s">
        <v>889</v>
      </c>
      <c r="Q5" s="437" t="s">
        <v>890</v>
      </c>
      <c r="R5" s="431">
        <v>1</v>
      </c>
      <c r="S5" s="121" t="s">
        <v>882</v>
      </c>
      <c r="T5" s="433">
        <v>20.99</v>
      </c>
      <c r="U5" s="134" t="s">
        <v>759</v>
      </c>
      <c r="V5" s="431" t="s">
        <v>889</v>
      </c>
      <c r="W5" s="437" t="s">
        <v>890</v>
      </c>
      <c r="X5" s="431">
        <v>1</v>
      </c>
      <c r="Y5" s="121" t="s">
        <v>882</v>
      </c>
      <c r="Z5" s="433">
        <v>14.52</v>
      </c>
      <c r="AA5" s="134" t="s">
        <v>759</v>
      </c>
    </row>
    <row r="6" spans="1:27" ht="15.75">
      <c r="A6" s="479"/>
      <c r="B6" s="482"/>
      <c r="C6" s="139" t="s">
        <v>891</v>
      </c>
      <c r="D6" s="140" t="s">
        <v>216</v>
      </c>
      <c r="E6" s="128">
        <v>1</v>
      </c>
      <c r="F6" s="121" t="s">
        <v>882</v>
      </c>
      <c r="G6" s="129">
        <v>31.5</v>
      </c>
      <c r="H6" s="126" t="s">
        <v>759</v>
      </c>
      <c r="I6" s="120" t="s">
        <v>760</v>
      </c>
      <c r="J6" s="431" t="s">
        <v>892</v>
      </c>
      <c r="K6" s="437" t="s">
        <v>893</v>
      </c>
      <c r="L6" s="431">
        <v>1</v>
      </c>
      <c r="M6" s="121" t="s">
        <v>882</v>
      </c>
      <c r="N6" s="433">
        <v>51.59</v>
      </c>
      <c r="O6" s="126" t="s">
        <v>759</v>
      </c>
      <c r="P6" s="431" t="s">
        <v>892</v>
      </c>
      <c r="Q6" s="437" t="s">
        <v>893</v>
      </c>
      <c r="R6" s="431">
        <v>1</v>
      </c>
      <c r="S6" s="121" t="s">
        <v>882</v>
      </c>
      <c r="T6" s="433">
        <v>35.57</v>
      </c>
      <c r="U6" s="126" t="s">
        <v>759</v>
      </c>
      <c r="V6" s="431" t="s">
        <v>892</v>
      </c>
      <c r="W6" s="437" t="s">
        <v>893</v>
      </c>
      <c r="X6" s="431">
        <v>1</v>
      </c>
      <c r="Y6" s="121" t="s">
        <v>882</v>
      </c>
      <c r="Z6" s="433">
        <v>22.51</v>
      </c>
      <c r="AA6" s="126" t="s">
        <v>759</v>
      </c>
    </row>
    <row r="7" spans="1:27" ht="15.75">
      <c r="A7" s="479"/>
      <c r="B7" s="482"/>
      <c r="C7" s="139" t="s">
        <v>746</v>
      </c>
      <c r="D7" s="140" t="s">
        <v>224</v>
      </c>
      <c r="E7" s="110">
        <v>1</v>
      </c>
      <c r="F7" s="121" t="s">
        <v>882</v>
      </c>
      <c r="G7" s="122">
        <v>30.5</v>
      </c>
      <c r="H7" s="126" t="s">
        <v>759</v>
      </c>
      <c r="I7" s="120" t="s">
        <v>760</v>
      </c>
      <c r="J7" s="431" t="s">
        <v>894</v>
      </c>
      <c r="K7" s="437" t="s">
        <v>895</v>
      </c>
      <c r="L7" s="431">
        <v>1</v>
      </c>
      <c r="M7" s="121" t="s">
        <v>882</v>
      </c>
      <c r="N7" s="433">
        <v>34.049999999999997</v>
      </c>
      <c r="O7" s="126" t="s">
        <v>759</v>
      </c>
      <c r="P7" s="431" t="s">
        <v>894</v>
      </c>
      <c r="Q7" s="437" t="s">
        <v>895</v>
      </c>
      <c r="R7" s="431">
        <v>1</v>
      </c>
      <c r="S7" s="121" t="s">
        <v>882</v>
      </c>
      <c r="T7" s="433">
        <v>22.41</v>
      </c>
      <c r="U7" s="126" t="s">
        <v>759</v>
      </c>
      <c r="V7" s="431" t="s">
        <v>894</v>
      </c>
      <c r="W7" s="437" t="s">
        <v>895</v>
      </c>
      <c r="X7" s="431">
        <v>1</v>
      </c>
      <c r="Y7" s="121" t="s">
        <v>882</v>
      </c>
      <c r="Z7" s="433">
        <v>18.68</v>
      </c>
      <c r="AA7" s="126" t="s">
        <v>759</v>
      </c>
    </row>
    <row r="8" spans="1:27" ht="15.75">
      <c r="A8" s="479"/>
      <c r="B8" s="482"/>
      <c r="C8" s="139" t="s">
        <v>896</v>
      </c>
      <c r="D8" s="140" t="s">
        <v>222</v>
      </c>
      <c r="E8" s="141">
        <v>1</v>
      </c>
      <c r="F8" s="121" t="s">
        <v>882</v>
      </c>
      <c r="G8" s="129">
        <v>30.5</v>
      </c>
      <c r="H8" s="134" t="s">
        <v>759</v>
      </c>
      <c r="I8" s="120" t="s">
        <v>760</v>
      </c>
      <c r="J8" s="431" t="s">
        <v>897</v>
      </c>
      <c r="K8" s="437" t="s">
        <v>898</v>
      </c>
      <c r="L8" s="431">
        <v>1</v>
      </c>
      <c r="M8" s="121" t="s">
        <v>882</v>
      </c>
      <c r="N8" s="433">
        <v>34.880000000000003</v>
      </c>
      <c r="O8" s="134" t="s">
        <v>759</v>
      </c>
      <c r="P8" s="431" t="s">
        <v>897</v>
      </c>
      <c r="Q8" s="437" t="s">
        <v>898</v>
      </c>
      <c r="R8" s="431">
        <v>1</v>
      </c>
      <c r="S8" s="121" t="s">
        <v>882</v>
      </c>
      <c r="T8" s="433">
        <v>23.83</v>
      </c>
      <c r="U8" s="134" t="s">
        <v>759</v>
      </c>
      <c r="V8" s="431" t="s">
        <v>897</v>
      </c>
      <c r="W8" s="437" t="s">
        <v>898</v>
      </c>
      <c r="X8" s="431">
        <v>1</v>
      </c>
      <c r="Y8" s="121" t="s">
        <v>882</v>
      </c>
      <c r="Z8" s="433">
        <v>19.97</v>
      </c>
      <c r="AA8" s="134" t="s">
        <v>759</v>
      </c>
    </row>
    <row r="9" spans="1:27" ht="15.75">
      <c r="A9" s="479"/>
      <c r="B9" s="482"/>
      <c r="C9" s="139" t="s">
        <v>899</v>
      </c>
      <c r="D9" s="140" t="s">
        <v>226</v>
      </c>
      <c r="E9" s="128">
        <v>1</v>
      </c>
      <c r="F9" s="121" t="s">
        <v>882</v>
      </c>
      <c r="G9" s="129">
        <v>30</v>
      </c>
      <c r="H9" s="134" t="s">
        <v>759</v>
      </c>
      <c r="I9" s="120" t="s">
        <v>760</v>
      </c>
      <c r="J9" s="431" t="s">
        <v>900</v>
      </c>
      <c r="K9" s="437" t="s">
        <v>901</v>
      </c>
      <c r="L9" s="431">
        <v>1</v>
      </c>
      <c r="M9" s="121" t="s">
        <v>882</v>
      </c>
      <c r="N9" s="433">
        <v>14</v>
      </c>
      <c r="O9" s="134" t="s">
        <v>759</v>
      </c>
      <c r="P9" s="431" t="s">
        <v>900</v>
      </c>
      <c r="Q9" s="437" t="s">
        <v>901</v>
      </c>
      <c r="R9" s="431">
        <v>1</v>
      </c>
      <c r="S9" s="121" t="s">
        <v>882</v>
      </c>
      <c r="T9" s="433">
        <v>8.89</v>
      </c>
      <c r="U9" s="134" t="s">
        <v>759</v>
      </c>
      <c r="V9" s="431" t="s">
        <v>900</v>
      </c>
      <c r="W9" s="437" t="s">
        <v>901</v>
      </c>
      <c r="X9" s="431">
        <v>1</v>
      </c>
      <c r="Y9" s="121" t="s">
        <v>882</v>
      </c>
      <c r="Z9" s="433">
        <v>7.36</v>
      </c>
      <c r="AA9" s="134" t="s">
        <v>759</v>
      </c>
    </row>
    <row r="10" spans="1:27" ht="15.75">
      <c r="A10" s="479"/>
      <c r="B10" s="482"/>
      <c r="C10" s="139" t="s">
        <v>902</v>
      </c>
      <c r="D10" s="128" t="s">
        <v>208</v>
      </c>
      <c r="E10" s="128">
        <v>1</v>
      </c>
      <c r="F10" s="121" t="s">
        <v>882</v>
      </c>
      <c r="G10" s="129">
        <v>34</v>
      </c>
      <c r="H10" s="134" t="s">
        <v>759</v>
      </c>
      <c r="I10" s="120" t="s">
        <v>760</v>
      </c>
      <c r="J10" s="431" t="s">
        <v>903</v>
      </c>
      <c r="K10" s="437" t="s">
        <v>904</v>
      </c>
      <c r="L10" s="431">
        <v>1</v>
      </c>
      <c r="M10" s="121" t="s">
        <v>882</v>
      </c>
      <c r="N10" s="433">
        <v>18.329999999999998</v>
      </c>
      <c r="O10" s="134" t="s">
        <v>759</v>
      </c>
      <c r="P10" s="431" t="s">
        <v>903</v>
      </c>
      <c r="Q10" s="437" t="s">
        <v>904</v>
      </c>
      <c r="R10" s="431">
        <v>1</v>
      </c>
      <c r="S10" s="121" t="s">
        <v>882</v>
      </c>
      <c r="T10" s="433">
        <v>12.06</v>
      </c>
      <c r="U10" s="134" t="s">
        <v>759</v>
      </c>
      <c r="V10" s="431" t="s">
        <v>903</v>
      </c>
      <c r="W10" s="437" t="s">
        <v>904</v>
      </c>
      <c r="X10" s="431">
        <v>1</v>
      </c>
      <c r="Y10" s="121" t="s">
        <v>882</v>
      </c>
      <c r="Z10" s="433">
        <v>10</v>
      </c>
      <c r="AA10" s="134" t="s">
        <v>759</v>
      </c>
    </row>
    <row r="11" spans="1:27" ht="15.75">
      <c r="A11" s="479"/>
      <c r="B11" s="482"/>
      <c r="C11" s="139" t="s">
        <v>905</v>
      </c>
      <c r="D11" s="128" t="s">
        <v>228</v>
      </c>
      <c r="E11" s="128">
        <v>1</v>
      </c>
      <c r="F11" s="121" t="s">
        <v>882</v>
      </c>
      <c r="G11" s="129">
        <v>30</v>
      </c>
      <c r="H11" s="134" t="s">
        <v>759</v>
      </c>
      <c r="I11" s="120" t="s">
        <v>760</v>
      </c>
      <c r="J11" s="431" t="s">
        <v>906</v>
      </c>
      <c r="K11" s="437" t="s">
        <v>907</v>
      </c>
      <c r="L11" s="431">
        <v>1</v>
      </c>
      <c r="M11" s="121" t="s">
        <v>882</v>
      </c>
      <c r="N11" s="433">
        <v>6.09</v>
      </c>
      <c r="O11" s="134" t="s">
        <v>759</v>
      </c>
      <c r="P11" s="431" t="s">
        <v>906</v>
      </c>
      <c r="Q11" s="437" t="s">
        <v>907</v>
      </c>
      <c r="R11" s="431">
        <v>1</v>
      </c>
      <c r="S11" s="121" t="s">
        <v>882</v>
      </c>
      <c r="T11" s="433">
        <v>3.56</v>
      </c>
      <c r="U11" s="134" t="s">
        <v>759</v>
      </c>
      <c r="V11" s="431" t="s">
        <v>906</v>
      </c>
      <c r="W11" s="437" t="s">
        <v>907</v>
      </c>
      <c r="X11" s="431">
        <v>1</v>
      </c>
      <c r="Y11" s="121" t="s">
        <v>882</v>
      </c>
      <c r="Z11" s="433">
        <v>2.99</v>
      </c>
      <c r="AA11" s="134" t="s">
        <v>759</v>
      </c>
    </row>
    <row r="12" spans="1:27" ht="15.75">
      <c r="A12" s="479"/>
      <c r="B12" s="482"/>
      <c r="C12" s="139" t="s">
        <v>908</v>
      </c>
      <c r="D12" s="128" t="s">
        <v>171</v>
      </c>
      <c r="E12" s="128">
        <v>2</v>
      </c>
      <c r="F12" s="121" t="s">
        <v>882</v>
      </c>
      <c r="G12" s="129">
        <v>27</v>
      </c>
      <c r="H12" s="134" t="s">
        <v>759</v>
      </c>
      <c r="I12" s="120" t="s">
        <v>760</v>
      </c>
      <c r="J12" s="431" t="s">
        <v>909</v>
      </c>
      <c r="K12" s="437" t="s">
        <v>910</v>
      </c>
      <c r="L12" s="431">
        <v>9</v>
      </c>
      <c r="M12" s="121" t="s">
        <v>882</v>
      </c>
      <c r="N12" s="433">
        <v>6.09</v>
      </c>
      <c r="O12" s="134" t="s">
        <v>759</v>
      </c>
      <c r="P12" s="431" t="s">
        <v>909</v>
      </c>
      <c r="Q12" s="437" t="s">
        <v>910</v>
      </c>
      <c r="R12" s="431">
        <v>9</v>
      </c>
      <c r="S12" s="121" t="s">
        <v>882</v>
      </c>
      <c r="T12" s="433">
        <v>3.56</v>
      </c>
      <c r="U12" s="134" t="s">
        <v>759</v>
      </c>
      <c r="V12" s="431" t="s">
        <v>909</v>
      </c>
      <c r="W12" s="437" t="s">
        <v>910</v>
      </c>
      <c r="X12" s="431">
        <v>9</v>
      </c>
      <c r="Y12" s="121" t="s">
        <v>882</v>
      </c>
      <c r="Z12" s="433">
        <v>2.99</v>
      </c>
      <c r="AA12" s="134" t="s">
        <v>759</v>
      </c>
    </row>
    <row r="13" spans="1:27" ht="15.75">
      <c r="A13" s="479"/>
      <c r="B13" s="482"/>
      <c r="C13" s="139" t="s">
        <v>911</v>
      </c>
      <c r="D13" s="128" t="s">
        <v>912</v>
      </c>
      <c r="E13" s="128">
        <v>1</v>
      </c>
      <c r="F13" s="121" t="s">
        <v>882</v>
      </c>
      <c r="G13" s="129">
        <v>21</v>
      </c>
      <c r="H13" s="134" t="s">
        <v>759</v>
      </c>
      <c r="I13" s="120" t="s">
        <v>760</v>
      </c>
      <c r="J13" s="431" t="s">
        <v>913</v>
      </c>
      <c r="K13" s="437" t="s">
        <v>914</v>
      </c>
      <c r="L13" s="431">
        <v>2</v>
      </c>
      <c r="M13" s="121" t="s">
        <v>882</v>
      </c>
      <c r="N13" s="433">
        <v>11.05</v>
      </c>
      <c r="O13" s="134" t="s">
        <v>759</v>
      </c>
      <c r="P13" s="431" t="s">
        <v>913</v>
      </c>
      <c r="Q13" s="437" t="s">
        <v>914</v>
      </c>
      <c r="R13" s="431">
        <v>2</v>
      </c>
      <c r="S13" s="121" t="s">
        <v>882</v>
      </c>
      <c r="T13" s="433">
        <v>7.11</v>
      </c>
      <c r="U13" s="134" t="s">
        <v>759</v>
      </c>
      <c r="V13" s="431" t="s">
        <v>913</v>
      </c>
      <c r="W13" s="437" t="s">
        <v>914</v>
      </c>
      <c r="X13" s="431">
        <v>2</v>
      </c>
      <c r="Y13" s="121" t="s">
        <v>882</v>
      </c>
      <c r="Z13" s="433">
        <v>5.49</v>
      </c>
      <c r="AA13" s="134" t="s">
        <v>759</v>
      </c>
    </row>
    <row r="14" spans="1:27" ht="15.75">
      <c r="A14" s="479"/>
      <c r="B14" s="482"/>
      <c r="C14" s="139" t="s">
        <v>915</v>
      </c>
      <c r="D14" s="128" t="s">
        <v>916</v>
      </c>
      <c r="E14" s="128">
        <v>1</v>
      </c>
      <c r="F14" s="121" t="s">
        <v>882</v>
      </c>
      <c r="G14" s="163">
        <v>90</v>
      </c>
      <c r="H14" s="134" t="s">
        <v>759</v>
      </c>
      <c r="I14" s="120" t="s">
        <v>760</v>
      </c>
      <c r="J14" s="431" t="s">
        <v>917</v>
      </c>
      <c r="K14" s="437" t="s">
        <v>918</v>
      </c>
      <c r="L14" s="431">
        <v>1</v>
      </c>
      <c r="M14" s="121" t="s">
        <v>882</v>
      </c>
      <c r="N14" s="433">
        <v>8.6</v>
      </c>
      <c r="O14" s="134" t="s">
        <v>759</v>
      </c>
      <c r="P14" s="431" t="s">
        <v>917</v>
      </c>
      <c r="Q14" s="437" t="s">
        <v>918</v>
      </c>
      <c r="R14" s="431">
        <v>1</v>
      </c>
      <c r="S14" s="121" t="s">
        <v>882</v>
      </c>
      <c r="T14" s="433">
        <v>5.34</v>
      </c>
      <c r="U14" s="134" t="s">
        <v>759</v>
      </c>
      <c r="V14" s="431" t="s">
        <v>917</v>
      </c>
      <c r="W14" s="437" t="s">
        <v>918</v>
      </c>
      <c r="X14" s="431">
        <v>1</v>
      </c>
      <c r="Y14" s="121" t="s">
        <v>882</v>
      </c>
      <c r="Z14" s="433">
        <v>4.5999999999999996</v>
      </c>
      <c r="AA14" s="134" t="s">
        <v>759</v>
      </c>
    </row>
    <row r="15" spans="1:27" ht="15.75">
      <c r="A15" s="479"/>
      <c r="B15" s="482"/>
      <c r="C15" s="160" t="s">
        <v>181</v>
      </c>
      <c r="D15" s="128" t="s">
        <v>182</v>
      </c>
      <c r="E15" s="128">
        <v>2</v>
      </c>
      <c r="F15" s="121" t="s">
        <v>882</v>
      </c>
      <c r="G15" s="129">
        <v>22</v>
      </c>
      <c r="H15" s="134" t="s">
        <v>759</v>
      </c>
      <c r="I15" s="120" t="s">
        <v>760</v>
      </c>
      <c r="J15" s="432" t="s">
        <v>919</v>
      </c>
      <c r="K15" s="440" t="s">
        <v>920</v>
      </c>
      <c r="L15" s="432">
        <v>1</v>
      </c>
      <c r="M15" s="121" t="s">
        <v>882</v>
      </c>
      <c r="N15" s="434">
        <v>15.97</v>
      </c>
      <c r="O15" s="134" t="s">
        <v>759</v>
      </c>
      <c r="P15" s="432" t="s">
        <v>919</v>
      </c>
      <c r="Q15" s="440" t="s">
        <v>920</v>
      </c>
      <c r="R15" s="432">
        <v>1</v>
      </c>
      <c r="S15" s="121" t="s">
        <v>882</v>
      </c>
      <c r="T15" s="434">
        <v>10.67</v>
      </c>
      <c r="U15" s="134" t="s">
        <v>759</v>
      </c>
      <c r="V15" s="432" t="s">
        <v>919</v>
      </c>
      <c r="W15" s="440" t="s">
        <v>920</v>
      </c>
      <c r="X15" s="432">
        <v>1</v>
      </c>
      <c r="Y15" s="121" t="s">
        <v>882</v>
      </c>
      <c r="Z15" s="434">
        <v>8.07</v>
      </c>
      <c r="AA15" s="134" t="s">
        <v>759</v>
      </c>
    </row>
    <row r="16" spans="1:27" ht="18.75">
      <c r="A16" s="480"/>
      <c r="B16" s="115" t="s">
        <v>683</v>
      </c>
      <c r="C16" s="484">
        <f>SUMPRODUCT(E3:E15,G3:G15)</f>
        <v>471.5</v>
      </c>
      <c r="D16" s="495"/>
      <c r="E16" s="495"/>
      <c r="F16" s="485"/>
      <c r="G16" s="485"/>
      <c r="H16" s="486"/>
      <c r="I16" s="120" t="s">
        <v>760</v>
      </c>
      <c r="J16" s="484">
        <f>SUMPRODUCT(L3:L15,N3:N15)</f>
        <v>356.15000000000009</v>
      </c>
      <c r="K16" s="495"/>
      <c r="L16" s="495"/>
      <c r="M16" s="485"/>
      <c r="N16" s="485"/>
      <c r="O16" s="486"/>
      <c r="P16" s="484">
        <f>SUMPRODUCT(R3:R15,T3:T15)</f>
        <v>232.53999999999996</v>
      </c>
      <c r="Q16" s="495"/>
      <c r="R16" s="495"/>
      <c r="S16" s="485"/>
      <c r="T16" s="485"/>
      <c r="U16" s="486"/>
      <c r="V16" s="484">
        <f>SUMPRODUCT(X3:X15,Z3:Z15)</f>
        <v>176.81999999999996</v>
      </c>
      <c r="W16" s="495"/>
      <c r="X16" s="495"/>
      <c r="Y16" s="485"/>
      <c r="Z16" s="485"/>
      <c r="AA16" s="486"/>
    </row>
    <row r="17" spans="1:27">
      <c r="A17" s="496" t="s">
        <v>101</v>
      </c>
      <c r="B17" s="481" t="s">
        <v>756</v>
      </c>
      <c r="C17" s="119" t="s">
        <v>810</v>
      </c>
      <c r="D17" s="120" t="s">
        <v>59</v>
      </c>
      <c r="E17" s="112">
        <v>6</v>
      </c>
      <c r="F17" s="116" t="s">
        <v>882</v>
      </c>
      <c r="G17" s="123">
        <v>38.5</v>
      </c>
      <c r="H17" s="114" t="s">
        <v>759</v>
      </c>
      <c r="I17" s="120" t="s">
        <v>760</v>
      </c>
      <c r="J17" s="119"/>
      <c r="K17" s="120"/>
      <c r="L17" s="112"/>
      <c r="M17" s="116"/>
      <c r="N17" s="124"/>
      <c r="O17" s="114" t="s">
        <v>759</v>
      </c>
      <c r="P17" s="119" t="s">
        <v>811</v>
      </c>
      <c r="Q17" s="120" t="s">
        <v>812</v>
      </c>
      <c r="R17" s="112">
        <v>2</v>
      </c>
      <c r="S17" s="116" t="s">
        <v>882</v>
      </c>
      <c r="T17" s="124">
        <v>65</v>
      </c>
      <c r="U17" s="114" t="s">
        <v>759</v>
      </c>
      <c r="V17" s="119"/>
      <c r="W17" s="120"/>
      <c r="X17" s="112"/>
      <c r="Y17" s="116" t="s">
        <v>882</v>
      </c>
      <c r="Z17" s="124"/>
      <c r="AA17" s="114" t="s">
        <v>759</v>
      </c>
    </row>
    <row r="18" spans="1:27">
      <c r="A18" s="497"/>
      <c r="B18" s="483"/>
      <c r="C18" s="138" t="s">
        <v>749</v>
      </c>
      <c r="D18" s="110" t="s">
        <v>101</v>
      </c>
      <c r="E18" s="108">
        <v>9</v>
      </c>
      <c r="F18" s="121" t="s">
        <v>882</v>
      </c>
      <c r="G18" s="109">
        <v>16.5</v>
      </c>
      <c r="H18" s="111" t="s">
        <v>759</v>
      </c>
      <c r="I18" s="120" t="s">
        <v>760</v>
      </c>
      <c r="J18" s="118"/>
      <c r="K18" s="110"/>
      <c r="L18" s="108"/>
      <c r="M18" s="121" t="s">
        <v>882</v>
      </c>
      <c r="N18" s="109"/>
      <c r="O18" s="111" t="s">
        <v>759</v>
      </c>
      <c r="P18" s="118"/>
      <c r="Q18" s="110"/>
      <c r="R18" s="108"/>
      <c r="S18" s="121" t="s">
        <v>882</v>
      </c>
      <c r="T18" s="109"/>
      <c r="U18" s="111" t="s">
        <v>759</v>
      </c>
      <c r="V18" s="118"/>
      <c r="W18" s="110"/>
      <c r="X18" s="108"/>
      <c r="Y18" s="121" t="s">
        <v>882</v>
      </c>
      <c r="Z18" s="109"/>
      <c r="AA18" s="111" t="s">
        <v>759</v>
      </c>
    </row>
    <row r="19" spans="1:27" ht="18.75">
      <c r="A19" s="498"/>
      <c r="B19" s="115" t="s">
        <v>683</v>
      </c>
      <c r="C19" s="484">
        <f>SUMPRODUCT(E17:E18,G17:G18)</f>
        <v>379.5</v>
      </c>
      <c r="D19" s="485"/>
      <c r="E19" s="485"/>
      <c r="F19" s="485"/>
      <c r="G19" s="485"/>
      <c r="H19" s="486"/>
      <c r="I19" s="120" t="s">
        <v>760</v>
      </c>
      <c r="J19" s="484">
        <f>L17*N17+L18*N18</f>
        <v>0</v>
      </c>
      <c r="K19" s="485"/>
      <c r="L19" s="485"/>
      <c r="M19" s="485"/>
      <c r="N19" s="485"/>
      <c r="O19" s="486"/>
      <c r="P19" s="484">
        <f>R17*T17+R18*T18</f>
        <v>130</v>
      </c>
      <c r="Q19" s="485"/>
      <c r="R19" s="485"/>
      <c r="S19" s="485"/>
      <c r="T19" s="485"/>
      <c r="U19" s="486"/>
      <c r="V19" s="484">
        <f>X17*Z17+X18*Z18</f>
        <v>0</v>
      </c>
      <c r="W19" s="485"/>
      <c r="X19" s="485"/>
      <c r="Y19" s="485"/>
      <c r="Z19" s="485"/>
      <c r="AA19" s="486"/>
    </row>
    <row r="20" spans="1:27">
      <c r="A20" s="478" t="s">
        <v>813</v>
      </c>
      <c r="B20" s="481" t="s">
        <v>756</v>
      </c>
      <c r="C20" s="136" t="s">
        <v>93</v>
      </c>
      <c r="D20" s="120" t="s">
        <v>814</v>
      </c>
      <c r="E20" s="112">
        <v>7</v>
      </c>
      <c r="F20" s="120" t="s">
        <v>882</v>
      </c>
      <c r="G20" s="130">
        <v>22.5</v>
      </c>
      <c r="H20" s="131" t="s">
        <v>759</v>
      </c>
      <c r="I20" s="120" t="s">
        <v>760</v>
      </c>
      <c r="J20" s="119"/>
      <c r="K20" s="120"/>
      <c r="L20" s="112"/>
      <c r="M20" s="120" t="s">
        <v>882</v>
      </c>
      <c r="N20" s="133"/>
      <c r="O20" s="131" t="s">
        <v>759</v>
      </c>
      <c r="P20" s="136" t="s">
        <v>93</v>
      </c>
      <c r="Q20" s="120" t="s">
        <v>814</v>
      </c>
      <c r="R20" s="112">
        <v>13</v>
      </c>
      <c r="S20" s="120" t="s">
        <v>882</v>
      </c>
      <c r="T20" s="130">
        <v>10</v>
      </c>
      <c r="U20" s="131" t="s">
        <v>759</v>
      </c>
      <c r="V20" s="119"/>
      <c r="W20" s="120"/>
      <c r="X20" s="112"/>
      <c r="Y20" s="120" t="s">
        <v>882</v>
      </c>
      <c r="Z20" s="133"/>
      <c r="AA20" s="131" t="s">
        <v>759</v>
      </c>
    </row>
    <row r="21" spans="1:27">
      <c r="A21" s="479"/>
      <c r="B21" s="482"/>
      <c r="C21" s="137" t="s">
        <v>116</v>
      </c>
      <c r="D21" s="110" t="s">
        <v>815</v>
      </c>
      <c r="E21" s="128">
        <v>6</v>
      </c>
      <c r="F21" s="110" t="s">
        <v>882</v>
      </c>
      <c r="G21" s="129">
        <v>18.3</v>
      </c>
      <c r="H21" s="126" t="s">
        <v>759</v>
      </c>
      <c r="I21" s="120" t="s">
        <v>760</v>
      </c>
      <c r="J21" s="127"/>
      <c r="K21" s="110"/>
      <c r="L21" s="128"/>
      <c r="M21" s="110" t="s">
        <v>882</v>
      </c>
      <c r="N21" s="132"/>
      <c r="O21" s="126" t="s">
        <v>759</v>
      </c>
      <c r="P21" s="137" t="s">
        <v>811</v>
      </c>
      <c r="Q21" s="110" t="s">
        <v>816</v>
      </c>
      <c r="R21" s="128">
        <v>6</v>
      </c>
      <c r="S21" s="110" t="s">
        <v>882</v>
      </c>
      <c r="T21" s="129">
        <v>2</v>
      </c>
      <c r="U21" s="126" t="s">
        <v>759</v>
      </c>
      <c r="V21" s="127"/>
      <c r="W21" s="110"/>
      <c r="X21" s="128"/>
      <c r="Y21" s="110" t="s">
        <v>882</v>
      </c>
      <c r="Z21" s="132"/>
      <c r="AA21" s="126" t="s">
        <v>759</v>
      </c>
    </row>
    <row r="22" spans="1:27">
      <c r="A22" s="479"/>
      <c r="B22" s="482"/>
      <c r="C22" s="137" t="s">
        <v>817</v>
      </c>
      <c r="D22" s="128" t="s">
        <v>262</v>
      </c>
      <c r="E22" s="128">
        <v>6</v>
      </c>
      <c r="F22" s="110" t="s">
        <v>882</v>
      </c>
      <c r="G22" s="129">
        <v>1.75</v>
      </c>
      <c r="H22" s="126" t="s">
        <v>759</v>
      </c>
      <c r="I22" s="120" t="s">
        <v>760</v>
      </c>
      <c r="J22" s="127"/>
      <c r="K22" s="128"/>
      <c r="L22" s="128"/>
      <c r="M22" s="110" t="s">
        <v>882</v>
      </c>
      <c r="N22" s="132"/>
      <c r="O22" s="126" t="s">
        <v>759</v>
      </c>
      <c r="P22" s="137" t="s">
        <v>817</v>
      </c>
      <c r="Q22" s="128" t="s">
        <v>262</v>
      </c>
      <c r="R22" s="128">
        <v>6</v>
      </c>
      <c r="S22" s="110" t="s">
        <v>882</v>
      </c>
      <c r="T22" s="129">
        <v>1.75</v>
      </c>
      <c r="U22" s="126" t="s">
        <v>759</v>
      </c>
      <c r="V22" s="127"/>
      <c r="W22" s="128"/>
      <c r="X22" s="128"/>
      <c r="Y22" s="110" t="s">
        <v>882</v>
      </c>
      <c r="Z22" s="132"/>
      <c r="AA22" s="126" t="s">
        <v>759</v>
      </c>
    </row>
    <row r="23" spans="1:27">
      <c r="A23" s="479"/>
      <c r="B23" s="483"/>
      <c r="C23" s="161" t="s">
        <v>818</v>
      </c>
      <c r="D23" s="140" t="s">
        <v>819</v>
      </c>
      <c r="E23" s="110">
        <v>6</v>
      </c>
      <c r="F23" s="110" t="s">
        <v>882</v>
      </c>
      <c r="G23" s="122">
        <v>1.43</v>
      </c>
      <c r="H23" s="126" t="s">
        <v>759</v>
      </c>
      <c r="I23" s="120" t="s">
        <v>760</v>
      </c>
      <c r="J23" s="118"/>
      <c r="K23" s="110"/>
      <c r="L23" s="110"/>
      <c r="M23" s="110" t="s">
        <v>882</v>
      </c>
      <c r="N23" s="122"/>
      <c r="O23" s="126" t="s">
        <v>759</v>
      </c>
      <c r="P23" s="161" t="s">
        <v>818</v>
      </c>
      <c r="Q23" s="140" t="s">
        <v>819</v>
      </c>
      <c r="R23" s="110">
        <v>6</v>
      </c>
      <c r="S23" s="110" t="s">
        <v>882</v>
      </c>
      <c r="T23" s="122">
        <v>1.43</v>
      </c>
      <c r="U23" s="126" t="s">
        <v>759</v>
      </c>
      <c r="V23" s="118"/>
      <c r="W23" s="110"/>
      <c r="X23" s="110"/>
      <c r="Y23" s="110" t="s">
        <v>882</v>
      </c>
      <c r="Z23" s="122"/>
      <c r="AA23" s="126" t="s">
        <v>759</v>
      </c>
    </row>
    <row r="24" spans="1:27" ht="18.75">
      <c r="A24" s="480"/>
      <c r="B24" s="115" t="s">
        <v>683</v>
      </c>
      <c r="C24" s="484">
        <f>SUMPRODUCT(E20:E23,G20:G23)</f>
        <v>286.38</v>
      </c>
      <c r="D24" s="485"/>
      <c r="E24" s="485"/>
      <c r="F24" s="485"/>
      <c r="G24" s="485"/>
      <c r="H24" s="486"/>
      <c r="I24" s="120" t="s">
        <v>760</v>
      </c>
      <c r="J24" s="484">
        <f>SUMPRODUCT(L20:L23,N20:N23)</f>
        <v>0</v>
      </c>
      <c r="K24" s="485"/>
      <c r="L24" s="485"/>
      <c r="M24" s="485"/>
      <c r="N24" s="485"/>
      <c r="O24" s="486"/>
      <c r="P24" s="484">
        <f>SUMPRODUCT(R20:R23,T20:T23)</f>
        <v>161.08000000000001</v>
      </c>
      <c r="Q24" s="485"/>
      <c r="R24" s="485"/>
      <c r="S24" s="485"/>
      <c r="T24" s="485"/>
      <c r="U24" s="486"/>
      <c r="V24" s="484">
        <f>SUMPRODUCT(X20:X23,Z20:Z23)</f>
        <v>0</v>
      </c>
      <c r="W24" s="485"/>
      <c r="X24" s="485"/>
      <c r="Y24" s="485"/>
      <c r="Z24" s="485"/>
      <c r="AA24" s="486"/>
    </row>
    <row r="25" spans="1:27">
      <c r="A25" s="478" t="s">
        <v>820</v>
      </c>
      <c r="B25" s="481" t="s">
        <v>756</v>
      </c>
      <c r="C25" s="136" t="s">
        <v>921</v>
      </c>
      <c r="D25" s="120" t="s">
        <v>214</v>
      </c>
      <c r="E25" s="112">
        <v>1</v>
      </c>
      <c r="F25" s="120" t="s">
        <v>882</v>
      </c>
      <c r="G25" s="130">
        <v>16.100000000000001</v>
      </c>
      <c r="H25" s="131" t="s">
        <v>759</v>
      </c>
      <c r="I25" s="120" t="s">
        <v>760</v>
      </c>
      <c r="J25" s="119"/>
      <c r="K25" s="120"/>
      <c r="L25" s="112"/>
      <c r="M25" s="120" t="s">
        <v>882</v>
      </c>
      <c r="N25" s="133"/>
      <c r="O25" s="131" t="s">
        <v>759</v>
      </c>
      <c r="P25" s="136" t="s">
        <v>921</v>
      </c>
      <c r="Q25" s="120" t="s">
        <v>214</v>
      </c>
      <c r="R25" s="112">
        <v>1</v>
      </c>
      <c r="S25" s="120" t="s">
        <v>882</v>
      </c>
      <c r="T25" s="130">
        <v>16.100000000000001</v>
      </c>
      <c r="U25" s="131" t="s">
        <v>759</v>
      </c>
      <c r="V25" s="119"/>
      <c r="W25" s="120"/>
      <c r="X25" s="112"/>
      <c r="Y25" s="120" t="s">
        <v>882</v>
      </c>
      <c r="Z25" s="133"/>
      <c r="AA25" s="131" t="s">
        <v>759</v>
      </c>
    </row>
    <row r="26" spans="1:27">
      <c r="A26" s="479"/>
      <c r="B26" s="482"/>
      <c r="C26" s="139" t="s">
        <v>922</v>
      </c>
      <c r="D26" s="140" t="s">
        <v>299</v>
      </c>
      <c r="E26" s="141">
        <v>1</v>
      </c>
      <c r="F26" s="121" t="s">
        <v>882</v>
      </c>
      <c r="G26" s="129">
        <v>16.399999999999999</v>
      </c>
      <c r="H26" s="134" t="s">
        <v>759</v>
      </c>
      <c r="I26" s="120" t="s">
        <v>760</v>
      </c>
      <c r="J26" s="127"/>
      <c r="K26" s="128"/>
      <c r="L26" s="141"/>
      <c r="M26" s="121" t="s">
        <v>882</v>
      </c>
      <c r="N26" s="132"/>
      <c r="O26" s="134" t="s">
        <v>759</v>
      </c>
      <c r="P26" s="139" t="s">
        <v>922</v>
      </c>
      <c r="Q26" s="140" t="s">
        <v>299</v>
      </c>
      <c r="R26" s="141">
        <v>1</v>
      </c>
      <c r="S26" s="121" t="s">
        <v>882</v>
      </c>
      <c r="T26" s="129">
        <v>16.399999999999999</v>
      </c>
      <c r="U26" s="134" t="s">
        <v>759</v>
      </c>
      <c r="V26" s="127"/>
      <c r="W26" s="128"/>
      <c r="X26" s="141"/>
      <c r="Y26" s="121" t="s">
        <v>882</v>
      </c>
      <c r="Z26" s="132"/>
      <c r="AA26" s="134" t="s">
        <v>759</v>
      </c>
    </row>
    <row r="27" spans="1:27">
      <c r="A27" s="479"/>
      <c r="B27" s="482"/>
      <c r="C27" s="139" t="s">
        <v>923</v>
      </c>
      <c r="D27" s="140" t="s">
        <v>297</v>
      </c>
      <c r="E27" s="128">
        <v>1</v>
      </c>
      <c r="F27" s="121" t="s">
        <v>882</v>
      </c>
      <c r="G27" s="129">
        <v>16.5</v>
      </c>
      <c r="H27" s="134" t="s">
        <v>759</v>
      </c>
      <c r="I27" s="120" t="s">
        <v>760</v>
      </c>
      <c r="J27" s="127"/>
      <c r="K27" s="140"/>
      <c r="L27" s="128"/>
      <c r="M27" s="121" t="s">
        <v>882</v>
      </c>
      <c r="N27" s="132"/>
      <c r="O27" s="134" t="s">
        <v>759</v>
      </c>
      <c r="P27" s="139" t="s">
        <v>923</v>
      </c>
      <c r="Q27" s="140" t="s">
        <v>297</v>
      </c>
      <c r="R27" s="128">
        <v>1</v>
      </c>
      <c r="S27" s="121" t="s">
        <v>882</v>
      </c>
      <c r="T27" s="129">
        <v>16.5</v>
      </c>
      <c r="U27" s="134" t="s">
        <v>759</v>
      </c>
      <c r="V27" s="127"/>
      <c r="W27" s="140"/>
      <c r="X27" s="128"/>
      <c r="Y27" s="121" t="s">
        <v>882</v>
      </c>
      <c r="Z27" s="132"/>
      <c r="AA27" s="134" t="s">
        <v>759</v>
      </c>
    </row>
    <row r="28" spans="1:27">
      <c r="A28" s="479"/>
      <c r="B28" s="482"/>
      <c r="C28" s="139" t="s">
        <v>924</v>
      </c>
      <c r="D28" s="140" t="s">
        <v>301</v>
      </c>
      <c r="E28" s="128">
        <v>1</v>
      </c>
      <c r="F28" s="121" t="s">
        <v>882</v>
      </c>
      <c r="G28" s="129">
        <v>16.399999999999999</v>
      </c>
      <c r="H28" s="126" t="s">
        <v>759</v>
      </c>
      <c r="I28" s="120" t="s">
        <v>760</v>
      </c>
      <c r="J28" s="127"/>
      <c r="K28" s="128"/>
      <c r="L28" s="128"/>
      <c r="M28" s="121" t="s">
        <v>882</v>
      </c>
      <c r="N28" s="132"/>
      <c r="O28" s="126" t="s">
        <v>759</v>
      </c>
      <c r="P28" s="139" t="s">
        <v>924</v>
      </c>
      <c r="Q28" s="140" t="s">
        <v>301</v>
      </c>
      <c r="R28" s="128">
        <v>1</v>
      </c>
      <c r="S28" s="121" t="s">
        <v>882</v>
      </c>
      <c r="T28" s="129">
        <v>16.399999999999999</v>
      </c>
      <c r="U28" s="126" t="s">
        <v>759</v>
      </c>
      <c r="V28" s="127"/>
      <c r="W28" s="128"/>
      <c r="X28" s="128"/>
      <c r="Y28" s="121" t="s">
        <v>882</v>
      </c>
      <c r="Z28" s="132"/>
      <c r="AA28" s="126" t="s">
        <v>759</v>
      </c>
    </row>
    <row r="29" spans="1:27">
      <c r="A29" s="479"/>
      <c r="B29" s="482"/>
      <c r="C29" s="139" t="s">
        <v>925</v>
      </c>
      <c r="D29" s="140" t="s">
        <v>303</v>
      </c>
      <c r="E29" s="128">
        <v>1</v>
      </c>
      <c r="F29" s="121" t="s">
        <v>882</v>
      </c>
      <c r="G29" s="129">
        <v>16.399999999999999</v>
      </c>
      <c r="H29" s="126" t="s">
        <v>759</v>
      </c>
      <c r="I29" s="120" t="s">
        <v>760</v>
      </c>
      <c r="J29" s="127"/>
      <c r="K29" s="128"/>
      <c r="L29" s="128"/>
      <c r="M29" s="121" t="s">
        <v>882</v>
      </c>
      <c r="N29" s="132"/>
      <c r="O29" s="126" t="s">
        <v>759</v>
      </c>
      <c r="P29" s="139" t="s">
        <v>925</v>
      </c>
      <c r="Q29" s="140" t="s">
        <v>303</v>
      </c>
      <c r="R29" s="128">
        <v>1</v>
      </c>
      <c r="S29" s="121" t="s">
        <v>882</v>
      </c>
      <c r="T29" s="129">
        <v>16.399999999999999</v>
      </c>
      <c r="U29" s="126" t="s">
        <v>759</v>
      </c>
      <c r="V29" s="127"/>
      <c r="W29" s="128"/>
      <c r="X29" s="128"/>
      <c r="Y29" s="121" t="s">
        <v>882</v>
      </c>
      <c r="Z29" s="132"/>
      <c r="AA29" s="126" t="s">
        <v>759</v>
      </c>
    </row>
    <row r="30" spans="1:27">
      <c r="A30" s="479"/>
      <c r="B30" s="482"/>
      <c r="C30" s="139" t="s">
        <v>926</v>
      </c>
      <c r="D30" s="140" t="s">
        <v>305</v>
      </c>
      <c r="E30" s="110">
        <v>1</v>
      </c>
      <c r="F30" s="121" t="s">
        <v>882</v>
      </c>
      <c r="G30" s="159">
        <v>16.399999999999999</v>
      </c>
      <c r="H30" s="126" t="s">
        <v>759</v>
      </c>
      <c r="I30" s="120" t="s">
        <v>760</v>
      </c>
      <c r="J30" s="127"/>
      <c r="K30" s="128"/>
      <c r="L30" s="128"/>
      <c r="M30" s="121" t="s">
        <v>882</v>
      </c>
      <c r="N30" s="132"/>
      <c r="O30" s="126" t="s">
        <v>759</v>
      </c>
      <c r="P30" s="139" t="s">
        <v>926</v>
      </c>
      <c r="Q30" s="140" t="s">
        <v>305</v>
      </c>
      <c r="R30" s="110">
        <v>1</v>
      </c>
      <c r="S30" s="121" t="s">
        <v>882</v>
      </c>
      <c r="T30" s="159">
        <v>16.399999999999999</v>
      </c>
      <c r="U30" s="126" t="s">
        <v>759</v>
      </c>
      <c r="V30" s="127"/>
      <c r="W30" s="128"/>
      <c r="X30" s="128"/>
      <c r="Y30" s="121" t="s">
        <v>882</v>
      </c>
      <c r="Z30" s="132"/>
      <c r="AA30" s="126" t="s">
        <v>759</v>
      </c>
    </row>
    <row r="31" spans="1:27">
      <c r="A31" s="479"/>
      <c r="B31" s="482"/>
      <c r="C31" s="139" t="s">
        <v>829</v>
      </c>
      <c r="D31" s="128" t="s">
        <v>275</v>
      </c>
      <c r="E31" s="128">
        <v>7</v>
      </c>
      <c r="F31" s="121" t="s">
        <v>882</v>
      </c>
      <c r="G31" s="129">
        <v>1.4</v>
      </c>
      <c r="H31" s="158" t="s">
        <v>759</v>
      </c>
      <c r="I31" s="120" t="s">
        <v>760</v>
      </c>
      <c r="J31" s="127"/>
      <c r="K31" s="128"/>
      <c r="L31" s="128"/>
      <c r="M31" s="121" t="s">
        <v>882</v>
      </c>
      <c r="N31" s="132"/>
      <c r="O31" s="126" t="s">
        <v>759</v>
      </c>
      <c r="P31" s="139" t="s">
        <v>829</v>
      </c>
      <c r="Q31" s="128" t="s">
        <v>275</v>
      </c>
      <c r="R31" s="128">
        <v>7</v>
      </c>
      <c r="S31" s="121" t="s">
        <v>882</v>
      </c>
      <c r="T31" s="129">
        <v>1.4</v>
      </c>
      <c r="U31" s="126" t="s">
        <v>759</v>
      </c>
      <c r="V31" s="127"/>
      <c r="W31" s="128"/>
      <c r="X31" s="128"/>
      <c r="Y31" s="121" t="s">
        <v>882</v>
      </c>
      <c r="Z31" s="132"/>
      <c r="AA31" s="126" t="s">
        <v>759</v>
      </c>
    </row>
    <row r="32" spans="1:27">
      <c r="A32" s="479"/>
      <c r="B32" s="482"/>
      <c r="C32" s="161" t="s">
        <v>830</v>
      </c>
      <c r="D32" s="140" t="s">
        <v>281</v>
      </c>
      <c r="E32" s="140">
        <v>7</v>
      </c>
      <c r="F32" s="121" t="s">
        <v>882</v>
      </c>
      <c r="G32" s="159">
        <v>1.2</v>
      </c>
      <c r="H32" s="162" t="s">
        <v>759</v>
      </c>
      <c r="I32" s="120" t="s">
        <v>760</v>
      </c>
      <c r="J32" s="127"/>
      <c r="K32" s="128"/>
      <c r="L32" s="128"/>
      <c r="M32" s="121" t="s">
        <v>882</v>
      </c>
      <c r="N32" s="132"/>
      <c r="O32" s="126" t="s">
        <v>759</v>
      </c>
      <c r="P32" s="161" t="s">
        <v>830</v>
      </c>
      <c r="Q32" s="140" t="s">
        <v>281</v>
      </c>
      <c r="R32" s="140">
        <v>7</v>
      </c>
      <c r="S32" s="121" t="s">
        <v>882</v>
      </c>
      <c r="T32" s="159">
        <v>1.2</v>
      </c>
      <c r="U32" s="126" t="s">
        <v>759</v>
      </c>
      <c r="V32" s="127"/>
      <c r="W32" s="128"/>
      <c r="X32" s="128"/>
      <c r="Y32" s="121" t="s">
        <v>882</v>
      </c>
      <c r="Z32" s="132"/>
      <c r="AA32" s="126" t="s">
        <v>759</v>
      </c>
    </row>
    <row r="33" spans="1:27">
      <c r="A33" s="479"/>
      <c r="B33" s="482"/>
      <c r="C33" s="161" t="s">
        <v>831</v>
      </c>
      <c r="D33" s="140" t="s">
        <v>832</v>
      </c>
      <c r="E33" s="140">
        <v>14</v>
      </c>
      <c r="F33" s="121" t="s">
        <v>882</v>
      </c>
      <c r="G33" s="166">
        <v>2.64</v>
      </c>
      <c r="H33" s="162" t="s">
        <v>759</v>
      </c>
      <c r="I33" s="120" t="s">
        <v>760</v>
      </c>
      <c r="J33" s="127"/>
      <c r="K33" s="128"/>
      <c r="L33" s="128"/>
      <c r="M33" s="121" t="s">
        <v>882</v>
      </c>
      <c r="N33" s="132"/>
      <c r="O33" s="126" t="s">
        <v>759</v>
      </c>
      <c r="P33" s="161" t="s">
        <v>831</v>
      </c>
      <c r="Q33" s="140" t="s">
        <v>832</v>
      </c>
      <c r="R33" s="140">
        <v>14</v>
      </c>
      <c r="S33" s="121" t="s">
        <v>882</v>
      </c>
      <c r="T33" s="166">
        <v>2.64</v>
      </c>
      <c r="U33" s="126" t="s">
        <v>759</v>
      </c>
      <c r="V33" s="127"/>
      <c r="W33" s="128"/>
      <c r="X33" s="128"/>
      <c r="Y33" s="121" t="s">
        <v>882</v>
      </c>
      <c r="Z33" s="132"/>
      <c r="AA33" s="126" t="s">
        <v>759</v>
      </c>
    </row>
    <row r="34" spans="1:27">
      <c r="A34" s="479"/>
      <c r="B34" s="482"/>
      <c r="C34" s="137" t="s">
        <v>927</v>
      </c>
      <c r="D34" s="128" t="s">
        <v>332</v>
      </c>
      <c r="E34" s="128">
        <v>1</v>
      </c>
      <c r="F34" s="121" t="s">
        <v>882</v>
      </c>
      <c r="G34" s="129">
        <v>9</v>
      </c>
      <c r="H34" s="158" t="s">
        <v>759</v>
      </c>
      <c r="I34" s="120" t="s">
        <v>760</v>
      </c>
      <c r="J34" s="127"/>
      <c r="K34" s="128"/>
      <c r="L34" s="128"/>
      <c r="M34" s="121" t="s">
        <v>882</v>
      </c>
      <c r="N34" s="132"/>
      <c r="O34" s="126" t="s">
        <v>759</v>
      </c>
      <c r="P34" s="137" t="s">
        <v>927</v>
      </c>
      <c r="Q34" s="128" t="s">
        <v>332</v>
      </c>
      <c r="R34" s="128">
        <v>1</v>
      </c>
      <c r="S34" s="121" t="s">
        <v>882</v>
      </c>
      <c r="T34" s="129">
        <v>9</v>
      </c>
      <c r="U34" s="126" t="s">
        <v>759</v>
      </c>
      <c r="V34" s="127"/>
      <c r="W34" s="128"/>
      <c r="X34" s="128"/>
      <c r="Y34" s="121" t="s">
        <v>882</v>
      </c>
      <c r="Z34" s="132"/>
      <c r="AA34" s="126" t="s">
        <v>759</v>
      </c>
    </row>
    <row r="35" spans="1:27">
      <c r="A35" s="479"/>
      <c r="B35" s="482"/>
      <c r="C35" s="137" t="s">
        <v>928</v>
      </c>
      <c r="D35" s="128" t="s">
        <v>334</v>
      </c>
      <c r="E35" s="128">
        <v>1</v>
      </c>
      <c r="F35" s="121" t="s">
        <v>882</v>
      </c>
      <c r="G35" s="129">
        <v>9</v>
      </c>
      <c r="H35" s="158" t="s">
        <v>759</v>
      </c>
      <c r="I35" s="120" t="s">
        <v>760</v>
      </c>
      <c r="J35" s="127"/>
      <c r="K35" s="128"/>
      <c r="L35" s="128"/>
      <c r="M35" s="121" t="s">
        <v>882</v>
      </c>
      <c r="N35" s="132"/>
      <c r="O35" s="126" t="s">
        <v>759</v>
      </c>
      <c r="P35" s="137" t="s">
        <v>928</v>
      </c>
      <c r="Q35" s="128" t="s">
        <v>334</v>
      </c>
      <c r="R35" s="128">
        <v>1</v>
      </c>
      <c r="S35" s="121" t="s">
        <v>882</v>
      </c>
      <c r="T35" s="129">
        <v>9</v>
      </c>
      <c r="U35" s="126" t="s">
        <v>759</v>
      </c>
      <c r="V35" s="127"/>
      <c r="W35" s="128"/>
      <c r="X35" s="128"/>
      <c r="Y35" s="121" t="s">
        <v>882</v>
      </c>
      <c r="Z35" s="132"/>
      <c r="AA35" s="126" t="s">
        <v>759</v>
      </c>
    </row>
    <row r="36" spans="1:27">
      <c r="A36" s="479"/>
      <c r="B36" s="482"/>
      <c r="C36" s="137" t="s">
        <v>929</v>
      </c>
      <c r="D36" s="128" t="s">
        <v>279</v>
      </c>
      <c r="E36" s="128">
        <v>2</v>
      </c>
      <c r="F36" s="121" t="s">
        <v>882</v>
      </c>
      <c r="G36" s="129">
        <v>9.3000000000000007</v>
      </c>
      <c r="H36" s="158" t="s">
        <v>759</v>
      </c>
      <c r="I36" s="120" t="s">
        <v>760</v>
      </c>
      <c r="J36" s="127"/>
      <c r="K36" s="128"/>
      <c r="L36" s="128"/>
      <c r="M36" s="121" t="s">
        <v>882</v>
      </c>
      <c r="N36" s="132"/>
      <c r="O36" s="126" t="s">
        <v>759</v>
      </c>
      <c r="P36" s="137" t="s">
        <v>929</v>
      </c>
      <c r="Q36" s="128" t="s">
        <v>279</v>
      </c>
      <c r="R36" s="128">
        <v>2</v>
      </c>
      <c r="S36" s="121" t="s">
        <v>882</v>
      </c>
      <c r="T36" s="129">
        <v>9.3000000000000007</v>
      </c>
      <c r="U36" s="126" t="s">
        <v>759</v>
      </c>
      <c r="V36" s="127"/>
      <c r="W36" s="128"/>
      <c r="X36" s="128"/>
      <c r="Y36" s="121" t="s">
        <v>882</v>
      </c>
      <c r="Z36" s="132"/>
      <c r="AA36" s="126" t="s">
        <v>759</v>
      </c>
    </row>
    <row r="37" spans="1:27">
      <c r="A37" s="479"/>
      <c r="B37" s="482"/>
      <c r="C37" s="137" t="s">
        <v>930</v>
      </c>
      <c r="D37" s="128" t="s">
        <v>327</v>
      </c>
      <c r="E37" s="128">
        <v>1</v>
      </c>
      <c r="F37" s="121" t="s">
        <v>882</v>
      </c>
      <c r="G37" s="129">
        <v>9.4</v>
      </c>
      <c r="H37" s="158" t="s">
        <v>759</v>
      </c>
      <c r="I37" s="120" t="s">
        <v>760</v>
      </c>
      <c r="J37" s="127"/>
      <c r="K37" s="128"/>
      <c r="L37" s="128"/>
      <c r="M37" s="121" t="s">
        <v>882</v>
      </c>
      <c r="N37" s="132"/>
      <c r="O37" s="126" t="s">
        <v>759</v>
      </c>
      <c r="P37" s="137" t="s">
        <v>930</v>
      </c>
      <c r="Q37" s="128" t="s">
        <v>327</v>
      </c>
      <c r="R37" s="128">
        <v>1</v>
      </c>
      <c r="S37" s="121" t="s">
        <v>882</v>
      </c>
      <c r="T37" s="129">
        <v>9.4</v>
      </c>
      <c r="U37" s="126" t="s">
        <v>759</v>
      </c>
      <c r="V37" s="127"/>
      <c r="W37" s="128"/>
      <c r="X37" s="128"/>
      <c r="Y37" s="121" t="s">
        <v>882</v>
      </c>
      <c r="Z37" s="132"/>
      <c r="AA37" s="126" t="s">
        <v>759</v>
      </c>
    </row>
    <row r="38" spans="1:27">
      <c r="A38" s="479"/>
      <c r="B38" s="482"/>
      <c r="C38" s="137" t="s">
        <v>931</v>
      </c>
      <c r="D38" s="128" t="s">
        <v>932</v>
      </c>
      <c r="E38" s="128">
        <v>2</v>
      </c>
      <c r="F38" s="121" t="s">
        <v>882</v>
      </c>
      <c r="G38" s="129">
        <v>1.2</v>
      </c>
      <c r="H38" s="158" t="s">
        <v>759</v>
      </c>
      <c r="I38" s="120" t="s">
        <v>760</v>
      </c>
      <c r="J38" s="127"/>
      <c r="K38" s="128"/>
      <c r="L38" s="128"/>
      <c r="M38" s="121" t="s">
        <v>882</v>
      </c>
      <c r="N38" s="132"/>
      <c r="O38" s="126" t="s">
        <v>759</v>
      </c>
      <c r="P38" s="137" t="s">
        <v>931</v>
      </c>
      <c r="Q38" s="128" t="s">
        <v>932</v>
      </c>
      <c r="R38" s="128">
        <v>2</v>
      </c>
      <c r="S38" s="121" t="s">
        <v>882</v>
      </c>
      <c r="T38" s="129">
        <v>1.2</v>
      </c>
      <c r="U38" s="126" t="s">
        <v>759</v>
      </c>
      <c r="V38" s="127"/>
      <c r="W38" s="128"/>
      <c r="X38" s="128"/>
      <c r="Y38" s="121" t="s">
        <v>882</v>
      </c>
      <c r="Z38" s="132"/>
      <c r="AA38" s="126" t="s">
        <v>759</v>
      </c>
    </row>
    <row r="39" spans="1:27">
      <c r="A39" s="479"/>
      <c r="B39" s="482"/>
      <c r="C39" s="137" t="s">
        <v>933</v>
      </c>
      <c r="D39" s="128" t="s">
        <v>934</v>
      </c>
      <c r="E39" s="128">
        <v>1</v>
      </c>
      <c r="F39" s="121" t="s">
        <v>882</v>
      </c>
      <c r="G39" s="129">
        <v>1.2</v>
      </c>
      <c r="H39" s="158" t="s">
        <v>759</v>
      </c>
      <c r="I39" s="120" t="s">
        <v>760</v>
      </c>
      <c r="J39" s="127"/>
      <c r="K39" s="128"/>
      <c r="L39" s="128"/>
      <c r="M39" s="121" t="s">
        <v>882</v>
      </c>
      <c r="N39" s="132"/>
      <c r="O39" s="126" t="s">
        <v>759</v>
      </c>
      <c r="P39" s="137" t="s">
        <v>933</v>
      </c>
      <c r="Q39" s="128" t="s">
        <v>934</v>
      </c>
      <c r="R39" s="128">
        <v>1</v>
      </c>
      <c r="S39" s="121" t="s">
        <v>882</v>
      </c>
      <c r="T39" s="129">
        <v>1.2</v>
      </c>
      <c r="U39" s="126" t="s">
        <v>759</v>
      </c>
      <c r="V39" s="127"/>
      <c r="W39" s="128"/>
      <c r="X39" s="128"/>
      <c r="Y39" s="121" t="s">
        <v>882</v>
      </c>
      <c r="Z39" s="132"/>
      <c r="AA39" s="126" t="s">
        <v>759</v>
      </c>
    </row>
    <row r="40" spans="1:27">
      <c r="A40" s="479"/>
      <c r="B40" s="482"/>
      <c r="C40" s="137" t="s">
        <v>935</v>
      </c>
      <c r="D40" s="128" t="s">
        <v>936</v>
      </c>
      <c r="E40" s="128">
        <v>1</v>
      </c>
      <c r="F40" s="121" t="s">
        <v>882</v>
      </c>
      <c r="G40" s="129">
        <v>1.4</v>
      </c>
      <c r="H40" s="158" t="s">
        <v>759</v>
      </c>
      <c r="I40" s="120" t="s">
        <v>760</v>
      </c>
      <c r="J40" s="127"/>
      <c r="K40" s="128"/>
      <c r="L40" s="128"/>
      <c r="M40" s="121" t="s">
        <v>882</v>
      </c>
      <c r="N40" s="132"/>
      <c r="O40" s="126" t="s">
        <v>759</v>
      </c>
      <c r="P40" s="137" t="s">
        <v>935</v>
      </c>
      <c r="Q40" s="128" t="s">
        <v>936</v>
      </c>
      <c r="R40" s="128">
        <v>1</v>
      </c>
      <c r="S40" s="121" t="s">
        <v>882</v>
      </c>
      <c r="T40" s="129">
        <v>1.4</v>
      </c>
      <c r="U40" s="126" t="s">
        <v>759</v>
      </c>
      <c r="V40" s="127"/>
      <c r="W40" s="128"/>
      <c r="X40" s="128"/>
      <c r="Y40" s="121" t="s">
        <v>882</v>
      </c>
      <c r="Z40" s="132"/>
      <c r="AA40" s="126" t="s">
        <v>759</v>
      </c>
    </row>
    <row r="41" spans="1:27">
      <c r="A41" s="479"/>
      <c r="B41" s="482"/>
      <c r="C41" s="137" t="s">
        <v>937</v>
      </c>
      <c r="D41" s="128" t="s">
        <v>938</v>
      </c>
      <c r="E41" s="128">
        <v>2</v>
      </c>
      <c r="F41" s="121" t="s">
        <v>882</v>
      </c>
      <c r="G41" s="164">
        <v>6.44</v>
      </c>
      <c r="H41" s="158" t="s">
        <v>759</v>
      </c>
      <c r="I41" s="120" t="s">
        <v>760</v>
      </c>
      <c r="J41" s="127"/>
      <c r="K41" s="128"/>
      <c r="L41" s="128"/>
      <c r="M41" s="121" t="s">
        <v>882</v>
      </c>
      <c r="N41" s="132"/>
      <c r="O41" s="126" t="s">
        <v>759</v>
      </c>
      <c r="P41" s="137" t="s">
        <v>937</v>
      </c>
      <c r="Q41" s="128" t="s">
        <v>938</v>
      </c>
      <c r="R41" s="128">
        <v>2</v>
      </c>
      <c r="S41" s="121" t="s">
        <v>882</v>
      </c>
      <c r="T41" s="164">
        <v>6.44</v>
      </c>
      <c r="U41" s="126" t="s">
        <v>759</v>
      </c>
      <c r="V41" s="127"/>
      <c r="W41" s="128"/>
      <c r="X41" s="128"/>
      <c r="Y41" s="121" t="s">
        <v>882</v>
      </c>
      <c r="Z41" s="132"/>
      <c r="AA41" s="126" t="s">
        <v>759</v>
      </c>
    </row>
    <row r="42" spans="1:27">
      <c r="A42" s="479"/>
      <c r="B42" s="482"/>
      <c r="C42" s="137" t="s">
        <v>939</v>
      </c>
      <c r="D42" s="128" t="s">
        <v>264</v>
      </c>
      <c r="E42" s="128">
        <v>2</v>
      </c>
      <c r="F42" s="121" t="s">
        <v>882</v>
      </c>
      <c r="G42" s="129">
        <v>10.4</v>
      </c>
      <c r="H42" s="158" t="s">
        <v>759</v>
      </c>
      <c r="I42" s="120" t="s">
        <v>760</v>
      </c>
      <c r="J42" s="127"/>
      <c r="K42" s="128"/>
      <c r="L42" s="128"/>
      <c r="M42" s="121" t="s">
        <v>882</v>
      </c>
      <c r="N42" s="132"/>
      <c r="O42" s="126" t="s">
        <v>759</v>
      </c>
      <c r="P42" s="137" t="s">
        <v>939</v>
      </c>
      <c r="Q42" s="128" t="s">
        <v>264</v>
      </c>
      <c r="R42" s="128">
        <v>2</v>
      </c>
      <c r="S42" s="121" t="s">
        <v>882</v>
      </c>
      <c r="T42" s="129">
        <v>10.4</v>
      </c>
      <c r="U42" s="126" t="s">
        <v>759</v>
      </c>
      <c r="V42" s="127"/>
      <c r="W42" s="128"/>
      <c r="X42" s="128"/>
      <c r="Y42" s="121" t="s">
        <v>882</v>
      </c>
      <c r="Z42" s="132"/>
      <c r="AA42" s="126" t="s">
        <v>759</v>
      </c>
    </row>
    <row r="43" spans="1:27">
      <c r="A43" s="479"/>
      <c r="B43" s="483"/>
      <c r="C43" s="160" t="s">
        <v>818</v>
      </c>
      <c r="D43" s="91" t="s">
        <v>853</v>
      </c>
      <c r="E43" s="91">
        <v>16</v>
      </c>
      <c r="F43" s="121" t="s">
        <v>882</v>
      </c>
      <c r="G43" s="122">
        <v>3.06</v>
      </c>
      <c r="H43" s="158" t="s">
        <v>759</v>
      </c>
      <c r="I43" s="120" t="s">
        <v>760</v>
      </c>
      <c r="J43" s="127"/>
      <c r="K43" s="128"/>
      <c r="L43" s="128"/>
      <c r="M43" s="121" t="s">
        <v>882</v>
      </c>
      <c r="N43" s="129"/>
      <c r="O43" s="126" t="s">
        <v>759</v>
      </c>
      <c r="P43" s="160" t="s">
        <v>818</v>
      </c>
      <c r="Q43" s="91" t="s">
        <v>853</v>
      </c>
      <c r="R43" s="91">
        <v>16</v>
      </c>
      <c r="S43" s="121" t="s">
        <v>882</v>
      </c>
      <c r="T43" s="122">
        <v>3.06</v>
      </c>
      <c r="U43" s="126" t="s">
        <v>759</v>
      </c>
      <c r="V43" s="127"/>
      <c r="W43" s="128"/>
      <c r="X43" s="128"/>
      <c r="Y43" s="121" t="s">
        <v>882</v>
      </c>
      <c r="Z43" s="129"/>
      <c r="AA43" s="126" t="s">
        <v>759</v>
      </c>
    </row>
    <row r="44" spans="1:27" ht="18.75">
      <c r="A44" s="480"/>
      <c r="B44" s="115" t="s">
        <v>683</v>
      </c>
      <c r="C44" s="484">
        <f>SUMPRODUCT(E25:E43,G25:G43)</f>
        <v>287</v>
      </c>
      <c r="D44" s="485"/>
      <c r="E44" s="485"/>
      <c r="F44" s="485"/>
      <c r="G44" s="485"/>
      <c r="H44" s="486"/>
      <c r="I44" s="120" t="s">
        <v>760</v>
      </c>
      <c r="J44" s="484">
        <f>SUMPRODUCT(L25:L43,N25:N43)</f>
        <v>0</v>
      </c>
      <c r="K44" s="485"/>
      <c r="L44" s="485"/>
      <c r="M44" s="485"/>
      <c r="N44" s="485"/>
      <c r="O44" s="486"/>
      <c r="P44" s="182" t="s">
        <v>856</v>
      </c>
      <c r="Q44" s="183"/>
      <c r="R44" s="183"/>
      <c r="S44" s="183"/>
      <c r="T44" s="183"/>
      <c r="U44" s="442">
        <v>287</v>
      </c>
      <c r="V44" s="503">
        <f>SUMPRODUCT(X25:X43,Z25:Z43)</f>
        <v>0</v>
      </c>
      <c r="W44" s="504"/>
      <c r="X44" s="504"/>
      <c r="Y44" s="504"/>
      <c r="Z44" s="504"/>
      <c r="AA44" s="505"/>
    </row>
    <row r="45" spans="1:27">
      <c r="A45" s="478" t="s">
        <v>857</v>
      </c>
      <c r="B45" s="481" t="s">
        <v>756</v>
      </c>
      <c r="C45" s="136">
        <v>86811</v>
      </c>
      <c r="D45" s="120" t="s">
        <v>858</v>
      </c>
      <c r="E45" s="112">
        <v>2</v>
      </c>
      <c r="F45" s="120" t="s">
        <v>882</v>
      </c>
      <c r="G45" s="130">
        <v>7.46</v>
      </c>
      <c r="H45" s="131" t="s">
        <v>759</v>
      </c>
      <c r="I45" s="120" t="s">
        <v>760</v>
      </c>
      <c r="J45" s="119"/>
      <c r="K45" s="120"/>
      <c r="L45" s="112"/>
      <c r="M45" s="120" t="s">
        <v>882</v>
      </c>
      <c r="N45" s="133"/>
      <c r="O45" s="131" t="s">
        <v>759</v>
      </c>
      <c r="P45" s="136">
        <v>86811</v>
      </c>
      <c r="Q45" s="120" t="s">
        <v>858</v>
      </c>
      <c r="R45" s="112">
        <v>2</v>
      </c>
      <c r="S45" s="120" t="s">
        <v>882</v>
      </c>
      <c r="T45" s="130">
        <v>7.46</v>
      </c>
      <c r="U45" s="131" t="s">
        <v>759</v>
      </c>
      <c r="V45" s="119"/>
      <c r="W45" s="120"/>
      <c r="X45" s="112"/>
      <c r="Y45" s="120" t="s">
        <v>882</v>
      </c>
      <c r="Z45" s="133"/>
      <c r="AA45" s="131" t="s">
        <v>759</v>
      </c>
    </row>
    <row r="46" spans="1:27">
      <c r="A46" s="479"/>
      <c r="B46" s="482"/>
      <c r="C46" s="139">
        <v>86780</v>
      </c>
      <c r="D46" s="140" t="s">
        <v>859</v>
      </c>
      <c r="E46" s="141">
        <v>2</v>
      </c>
      <c r="F46" s="121" t="s">
        <v>882</v>
      </c>
      <c r="G46" s="129">
        <v>17</v>
      </c>
      <c r="H46" s="134" t="s">
        <v>759</v>
      </c>
      <c r="I46" s="120" t="s">
        <v>760</v>
      </c>
      <c r="J46" s="127"/>
      <c r="K46" s="128"/>
      <c r="L46" s="141"/>
      <c r="M46" s="121" t="s">
        <v>882</v>
      </c>
      <c r="N46" s="132"/>
      <c r="O46" s="134" t="s">
        <v>759</v>
      </c>
      <c r="P46" s="139">
        <v>86780</v>
      </c>
      <c r="Q46" s="140" t="s">
        <v>859</v>
      </c>
      <c r="R46" s="141">
        <v>2</v>
      </c>
      <c r="S46" s="121" t="s">
        <v>882</v>
      </c>
      <c r="T46" s="129">
        <v>17</v>
      </c>
      <c r="U46" s="134" t="s">
        <v>759</v>
      </c>
      <c r="V46" s="127"/>
      <c r="W46" s="128"/>
      <c r="X46" s="141"/>
      <c r="Y46" s="121" t="s">
        <v>882</v>
      </c>
      <c r="Z46" s="132"/>
      <c r="AA46" s="134" t="s">
        <v>759</v>
      </c>
    </row>
    <row r="47" spans="1:27">
      <c r="A47" s="479"/>
      <c r="B47" s="482"/>
      <c r="C47" s="137" t="s">
        <v>860</v>
      </c>
      <c r="D47" s="110" t="s">
        <v>861</v>
      </c>
      <c r="E47" s="128">
        <v>2</v>
      </c>
      <c r="F47" s="121" t="s">
        <v>882</v>
      </c>
      <c r="G47" s="129">
        <v>5.72</v>
      </c>
      <c r="H47" s="134" t="s">
        <v>759</v>
      </c>
      <c r="I47" s="120" t="s">
        <v>760</v>
      </c>
      <c r="J47" s="127"/>
      <c r="K47" s="140"/>
      <c r="L47" s="128"/>
      <c r="M47" s="121" t="s">
        <v>882</v>
      </c>
      <c r="N47" s="132"/>
      <c r="O47" s="134" t="s">
        <v>759</v>
      </c>
      <c r="P47" s="137" t="s">
        <v>860</v>
      </c>
      <c r="Q47" s="110" t="s">
        <v>861</v>
      </c>
      <c r="R47" s="128">
        <v>2</v>
      </c>
      <c r="S47" s="121" t="s">
        <v>882</v>
      </c>
      <c r="T47" s="129">
        <v>5.72</v>
      </c>
      <c r="U47" s="134" t="s">
        <v>759</v>
      </c>
      <c r="V47" s="127"/>
      <c r="W47" s="140"/>
      <c r="X47" s="128"/>
      <c r="Y47" s="121" t="s">
        <v>882</v>
      </c>
      <c r="Z47" s="132"/>
      <c r="AA47" s="134" t="s">
        <v>759</v>
      </c>
    </row>
    <row r="48" spans="1:27">
      <c r="A48" s="479"/>
      <c r="B48" s="482"/>
      <c r="C48" s="137" t="s">
        <v>862</v>
      </c>
      <c r="D48" s="91" t="s">
        <v>863</v>
      </c>
      <c r="E48" s="128">
        <v>2</v>
      </c>
      <c r="F48" s="121" t="s">
        <v>882</v>
      </c>
      <c r="G48" s="129">
        <v>4.9400000000000004</v>
      </c>
      <c r="H48" s="134" t="s">
        <v>759</v>
      </c>
      <c r="I48" s="120" t="s">
        <v>760</v>
      </c>
      <c r="J48" s="127"/>
      <c r="K48" s="128"/>
      <c r="L48" s="128"/>
      <c r="M48" s="121" t="s">
        <v>882</v>
      </c>
      <c r="N48" s="132"/>
      <c r="O48" s="134" t="s">
        <v>759</v>
      </c>
      <c r="P48" s="137" t="s">
        <v>862</v>
      </c>
      <c r="Q48" s="91" t="s">
        <v>863</v>
      </c>
      <c r="R48" s="128">
        <v>2</v>
      </c>
      <c r="S48" s="121" t="s">
        <v>882</v>
      </c>
      <c r="T48" s="129">
        <v>4.9400000000000004</v>
      </c>
      <c r="U48" s="134" t="s">
        <v>759</v>
      </c>
      <c r="V48" s="127"/>
      <c r="W48" s="128"/>
      <c r="X48" s="128"/>
      <c r="Y48" s="121" t="s">
        <v>882</v>
      </c>
      <c r="Z48" s="132"/>
      <c r="AA48" s="134" t="s">
        <v>759</v>
      </c>
    </row>
    <row r="49" spans="1:27">
      <c r="A49" s="479"/>
      <c r="B49" s="482"/>
      <c r="C49" s="137">
        <v>86782</v>
      </c>
      <c r="D49" s="141" t="s">
        <v>864</v>
      </c>
      <c r="E49" s="128">
        <v>2</v>
      </c>
      <c r="F49" s="121" t="s">
        <v>882</v>
      </c>
      <c r="G49" s="129">
        <v>7.66</v>
      </c>
      <c r="H49" s="134" t="s">
        <v>759</v>
      </c>
      <c r="I49" s="120" t="s">
        <v>760</v>
      </c>
      <c r="J49" s="127"/>
      <c r="K49" s="128"/>
      <c r="L49" s="128"/>
      <c r="M49" s="121" t="s">
        <v>882</v>
      </c>
      <c r="N49" s="132"/>
      <c r="O49" s="134" t="s">
        <v>759</v>
      </c>
      <c r="P49" s="137">
        <v>86782</v>
      </c>
      <c r="Q49" s="141" t="s">
        <v>864</v>
      </c>
      <c r="R49" s="128">
        <v>2</v>
      </c>
      <c r="S49" s="121" t="s">
        <v>882</v>
      </c>
      <c r="T49" s="129">
        <v>7.66</v>
      </c>
      <c r="U49" s="134" t="s">
        <v>759</v>
      </c>
      <c r="V49" s="127"/>
      <c r="W49" s="128"/>
      <c r="X49" s="128"/>
      <c r="Y49" s="121" t="s">
        <v>882</v>
      </c>
      <c r="Z49" s="132"/>
      <c r="AA49" s="134" t="s">
        <v>759</v>
      </c>
    </row>
    <row r="50" spans="1:27">
      <c r="A50" s="479"/>
      <c r="B50" s="482"/>
      <c r="C50" s="137">
        <v>86412</v>
      </c>
      <c r="D50" s="128" t="s">
        <v>865</v>
      </c>
      <c r="E50" s="128">
        <v>1</v>
      </c>
      <c r="F50" s="121" t="s">
        <v>882</v>
      </c>
      <c r="G50" s="129">
        <v>97.59</v>
      </c>
      <c r="H50" s="126" t="s">
        <v>759</v>
      </c>
      <c r="I50" s="120" t="s">
        <v>760</v>
      </c>
      <c r="J50" s="127"/>
      <c r="K50" s="128"/>
      <c r="L50" s="128"/>
      <c r="M50" s="121" t="s">
        <v>882</v>
      </c>
      <c r="N50" s="132"/>
      <c r="O50" s="134" t="s">
        <v>759</v>
      </c>
      <c r="P50" s="137">
        <v>86412</v>
      </c>
      <c r="Q50" s="128" t="s">
        <v>865</v>
      </c>
      <c r="R50" s="128">
        <v>1</v>
      </c>
      <c r="S50" s="121" t="s">
        <v>882</v>
      </c>
      <c r="T50" s="129">
        <v>225</v>
      </c>
      <c r="U50" s="126" t="s">
        <v>759</v>
      </c>
      <c r="V50" s="127"/>
      <c r="W50" s="128"/>
      <c r="X50" s="128"/>
      <c r="Y50" s="121" t="s">
        <v>882</v>
      </c>
      <c r="Z50" s="132"/>
      <c r="AA50" s="134" t="s">
        <v>759</v>
      </c>
    </row>
    <row r="51" spans="1:27">
      <c r="A51" s="479"/>
      <c r="B51" s="483"/>
      <c r="C51" s="138">
        <v>86411</v>
      </c>
      <c r="D51" s="91" t="s">
        <v>866</v>
      </c>
      <c r="E51" s="110">
        <v>1</v>
      </c>
      <c r="F51" s="121" t="s">
        <v>882</v>
      </c>
      <c r="G51" s="122">
        <v>128.41</v>
      </c>
      <c r="H51" s="126" t="s">
        <v>759</v>
      </c>
      <c r="I51" s="120" t="s">
        <v>760</v>
      </c>
      <c r="J51" s="118"/>
      <c r="K51" s="110"/>
      <c r="L51" s="110"/>
      <c r="M51" s="121" t="s">
        <v>882</v>
      </c>
      <c r="N51" s="122"/>
      <c r="O51" s="126" t="s">
        <v>759</v>
      </c>
      <c r="P51" s="138">
        <v>86411</v>
      </c>
      <c r="Q51" s="91" t="s">
        <v>866</v>
      </c>
      <c r="R51" s="110">
        <v>1</v>
      </c>
      <c r="S51" s="121" t="s">
        <v>882</v>
      </c>
      <c r="T51" s="122">
        <v>225</v>
      </c>
      <c r="U51" s="126" t="s">
        <v>759</v>
      </c>
      <c r="V51" s="118"/>
      <c r="W51" s="110"/>
      <c r="X51" s="110"/>
      <c r="Y51" s="121" t="s">
        <v>882</v>
      </c>
      <c r="Z51" s="122"/>
      <c r="AA51" s="126" t="s">
        <v>759</v>
      </c>
    </row>
    <row r="52" spans="1:27" ht="18.75">
      <c r="A52" s="480"/>
      <c r="B52" s="115" t="s">
        <v>683</v>
      </c>
      <c r="C52" s="484">
        <f>SUMPRODUCT(E45:E51,G45:G51)</f>
        <v>311.56</v>
      </c>
      <c r="D52" s="485"/>
      <c r="E52" s="485"/>
      <c r="F52" s="485"/>
      <c r="G52" s="485"/>
      <c r="H52" s="486"/>
      <c r="I52" s="120" t="s">
        <v>760</v>
      </c>
      <c r="J52" s="484">
        <f>SUMPRODUCT(L45:L51,N45:N51)</f>
        <v>0</v>
      </c>
      <c r="K52" s="485"/>
      <c r="L52" s="485"/>
      <c r="M52" s="485"/>
      <c r="N52" s="485"/>
      <c r="O52" s="486"/>
      <c r="P52" s="484">
        <f>SUMPRODUCT(R45:R51,T45:T51)</f>
        <v>535.55999999999995</v>
      </c>
      <c r="Q52" s="485"/>
      <c r="R52" s="485"/>
      <c r="S52" s="485"/>
      <c r="T52" s="485"/>
      <c r="U52" s="486"/>
      <c r="V52" s="484">
        <f>SUMPRODUCT(X45:X51,Z45:Z51)</f>
        <v>0</v>
      </c>
      <c r="W52" s="485"/>
      <c r="X52" s="485"/>
      <c r="Y52" s="485"/>
      <c r="Z52" s="485"/>
      <c r="AA52" s="486"/>
    </row>
    <row r="53" spans="1:27">
      <c r="A53" s="478" t="s">
        <v>615</v>
      </c>
      <c r="B53" s="481" t="s">
        <v>756</v>
      </c>
      <c r="C53" s="136" t="s">
        <v>140</v>
      </c>
      <c r="D53" s="120" t="s">
        <v>940</v>
      </c>
      <c r="E53" s="112">
        <v>0</v>
      </c>
      <c r="F53" s="120" t="s">
        <v>882</v>
      </c>
      <c r="G53" s="130">
        <v>110.3</v>
      </c>
      <c r="H53" s="131" t="s">
        <v>759</v>
      </c>
      <c r="I53" s="120" t="s">
        <v>760</v>
      </c>
      <c r="J53" s="119"/>
      <c r="K53" s="120"/>
      <c r="L53" s="112"/>
      <c r="M53" s="120" t="s">
        <v>882</v>
      </c>
      <c r="N53" s="133"/>
      <c r="O53" s="131" t="s">
        <v>759</v>
      </c>
      <c r="P53" s="136" t="s">
        <v>140</v>
      </c>
      <c r="Q53" s="120" t="s">
        <v>940</v>
      </c>
      <c r="R53" s="112">
        <v>1</v>
      </c>
      <c r="S53" s="120" t="s">
        <v>882</v>
      </c>
      <c r="T53" s="130">
        <f>RFQ!P32</f>
        <v>28.86</v>
      </c>
      <c r="U53" s="131" t="s">
        <v>759</v>
      </c>
      <c r="V53" s="119"/>
      <c r="W53" s="120"/>
      <c r="X53" s="112"/>
      <c r="Y53" s="120" t="s">
        <v>882</v>
      </c>
      <c r="Z53" s="133"/>
      <c r="AA53" s="131" t="s">
        <v>759</v>
      </c>
    </row>
    <row r="54" spans="1:27">
      <c r="A54" s="479"/>
      <c r="B54" s="482"/>
      <c r="C54" s="139" t="s">
        <v>267</v>
      </c>
      <c r="D54" s="140" t="s">
        <v>941</v>
      </c>
      <c r="E54" s="141">
        <v>0</v>
      </c>
      <c r="F54" s="121" t="s">
        <v>882</v>
      </c>
      <c r="G54" s="129">
        <v>20.92</v>
      </c>
      <c r="H54" s="134" t="s">
        <v>759</v>
      </c>
      <c r="I54" s="120" t="s">
        <v>760</v>
      </c>
      <c r="J54" s="127"/>
      <c r="K54" s="128"/>
      <c r="L54" s="141"/>
      <c r="M54" s="121" t="s">
        <v>882</v>
      </c>
      <c r="N54" s="132"/>
      <c r="O54" s="134" t="s">
        <v>759</v>
      </c>
      <c r="P54" s="139" t="s">
        <v>267</v>
      </c>
      <c r="Q54" s="140" t="s">
        <v>941</v>
      </c>
      <c r="R54" s="141">
        <v>1</v>
      </c>
      <c r="S54" s="121" t="s">
        <v>882</v>
      </c>
      <c r="T54" s="130">
        <f>RFQ!P33</f>
        <v>29.13</v>
      </c>
      <c r="U54" s="134" t="s">
        <v>759</v>
      </c>
      <c r="V54" s="127"/>
      <c r="W54" s="128"/>
      <c r="X54" s="141"/>
      <c r="Y54" s="121" t="s">
        <v>882</v>
      </c>
      <c r="Z54" s="132"/>
      <c r="AA54" s="134" t="s">
        <v>759</v>
      </c>
    </row>
    <row r="55" spans="1:27">
      <c r="A55" s="479"/>
      <c r="B55" s="482"/>
      <c r="C55" s="137" t="s">
        <v>198</v>
      </c>
      <c r="D55" s="110" t="s">
        <v>870</v>
      </c>
      <c r="E55" s="128">
        <v>0</v>
      </c>
      <c r="F55" s="121" t="s">
        <v>882</v>
      </c>
      <c r="G55" s="129">
        <v>17.41</v>
      </c>
      <c r="H55" s="134" t="s">
        <v>759</v>
      </c>
      <c r="I55" s="120" t="s">
        <v>760</v>
      </c>
      <c r="J55" s="127"/>
      <c r="K55" s="140"/>
      <c r="L55" s="128"/>
      <c r="M55" s="121" t="s">
        <v>882</v>
      </c>
      <c r="N55" s="132"/>
      <c r="O55" s="134" t="s">
        <v>759</v>
      </c>
      <c r="P55" s="137"/>
      <c r="Q55" s="110"/>
      <c r="R55" s="128"/>
      <c r="S55" s="121"/>
      <c r="T55" s="129"/>
      <c r="U55" s="134" t="s">
        <v>759</v>
      </c>
      <c r="V55" s="127"/>
      <c r="W55" s="140"/>
      <c r="X55" s="128"/>
      <c r="Y55" s="121" t="s">
        <v>882</v>
      </c>
      <c r="Z55" s="132"/>
      <c r="AA55" s="134" t="s">
        <v>759</v>
      </c>
    </row>
    <row r="56" spans="1:27">
      <c r="A56" s="479"/>
      <c r="B56" s="482"/>
      <c r="C56" s="137" t="s">
        <v>942</v>
      </c>
      <c r="D56" s="128" t="s">
        <v>872</v>
      </c>
      <c r="E56" s="128">
        <v>0</v>
      </c>
      <c r="F56" s="121" t="s">
        <v>882</v>
      </c>
      <c r="G56" s="129">
        <v>0</v>
      </c>
      <c r="H56" s="126" t="s">
        <v>759</v>
      </c>
      <c r="I56" s="120" t="s">
        <v>760</v>
      </c>
      <c r="J56" s="127"/>
      <c r="K56" s="128"/>
      <c r="L56" s="128"/>
      <c r="M56" s="121" t="s">
        <v>882</v>
      </c>
      <c r="N56" s="132"/>
      <c r="O56" s="126" t="s">
        <v>759</v>
      </c>
      <c r="P56" s="137"/>
      <c r="Q56" s="128"/>
      <c r="R56" s="128"/>
      <c r="S56" s="121"/>
      <c r="T56" s="129"/>
      <c r="U56" s="126" t="s">
        <v>759</v>
      </c>
      <c r="V56" s="127"/>
      <c r="W56" s="128"/>
      <c r="X56" s="128"/>
      <c r="Y56" s="121" t="s">
        <v>882</v>
      </c>
      <c r="Z56" s="132"/>
      <c r="AA56" s="126" t="s">
        <v>759</v>
      </c>
    </row>
    <row r="57" spans="1:27">
      <c r="A57" s="479"/>
      <c r="B57" s="483"/>
      <c r="C57" s="138" t="s">
        <v>873</v>
      </c>
      <c r="D57" s="91" t="s">
        <v>874</v>
      </c>
      <c r="E57" s="110">
        <v>0</v>
      </c>
      <c r="F57" s="121" t="s">
        <v>882</v>
      </c>
      <c r="G57" s="122">
        <v>0</v>
      </c>
      <c r="H57" s="126" t="s">
        <v>759</v>
      </c>
      <c r="I57" s="120" t="s">
        <v>760</v>
      </c>
      <c r="J57" s="118"/>
      <c r="K57" s="110"/>
      <c r="L57" s="110"/>
      <c r="M57" s="121" t="s">
        <v>882</v>
      </c>
      <c r="N57" s="122"/>
      <c r="O57" s="126" t="s">
        <v>759</v>
      </c>
      <c r="P57" s="138"/>
      <c r="R57" s="110"/>
      <c r="S57" s="121"/>
      <c r="T57" s="122"/>
      <c r="U57" s="126" t="s">
        <v>759</v>
      </c>
      <c r="V57" s="118"/>
      <c r="W57" s="110"/>
      <c r="X57" s="110"/>
      <c r="Y57" s="121" t="s">
        <v>882</v>
      </c>
      <c r="Z57" s="122"/>
      <c r="AA57" s="126" t="s">
        <v>759</v>
      </c>
    </row>
    <row r="58" spans="1:27" ht="18.75">
      <c r="A58" s="480"/>
      <c r="B58" s="115" t="s">
        <v>683</v>
      </c>
      <c r="C58" s="484">
        <f>SUMPRODUCT(E53:E57,G53:G57)</f>
        <v>0</v>
      </c>
      <c r="D58" s="485"/>
      <c r="E58" s="485"/>
      <c r="F58" s="485"/>
      <c r="G58" s="485"/>
      <c r="H58" s="486"/>
      <c r="I58" s="120" t="s">
        <v>760</v>
      </c>
      <c r="J58" s="484">
        <f>SUMPRODUCT(L53:L57,N53:N57)</f>
        <v>0</v>
      </c>
      <c r="K58" s="485"/>
      <c r="L58" s="485"/>
      <c r="M58" s="485"/>
      <c r="N58" s="485"/>
      <c r="O58" s="486"/>
      <c r="P58" s="484">
        <f>SUMPRODUCT(R53:R57,T53:T57)</f>
        <v>57.989999999999995</v>
      </c>
      <c r="Q58" s="485"/>
      <c r="R58" s="485"/>
      <c r="S58" s="485"/>
      <c r="T58" s="485"/>
      <c r="U58" s="486"/>
      <c r="V58" s="484">
        <f>SUMPRODUCT(X53:X57,Z53:Z57)</f>
        <v>0</v>
      </c>
      <c r="W58" s="485"/>
      <c r="X58" s="485"/>
      <c r="Y58" s="485"/>
      <c r="Z58" s="485"/>
      <c r="AA58" s="486"/>
    </row>
    <row r="59" spans="1:27">
      <c r="A59" s="478" t="s">
        <v>875</v>
      </c>
      <c r="B59" s="481" t="s">
        <v>756</v>
      </c>
      <c r="C59" s="136" t="s">
        <v>943</v>
      </c>
      <c r="D59" s="120" t="s">
        <v>944</v>
      </c>
      <c r="E59" s="112">
        <v>0</v>
      </c>
      <c r="F59" s="120" t="s">
        <v>882</v>
      </c>
      <c r="G59" s="130"/>
      <c r="H59" s="131" t="s">
        <v>759</v>
      </c>
      <c r="I59" s="120" t="s">
        <v>760</v>
      </c>
      <c r="J59" s="119"/>
      <c r="K59" s="120"/>
      <c r="L59" s="112"/>
      <c r="M59" s="120" t="s">
        <v>882</v>
      </c>
      <c r="N59" s="133"/>
      <c r="O59" s="131" t="s">
        <v>759</v>
      </c>
      <c r="P59" s="119"/>
      <c r="Q59" s="120"/>
      <c r="R59" s="112"/>
      <c r="S59" s="120" t="s">
        <v>882</v>
      </c>
      <c r="T59" s="133"/>
      <c r="U59" s="131" t="s">
        <v>759</v>
      </c>
      <c r="V59" s="119"/>
      <c r="W59" s="120"/>
      <c r="X59" s="112"/>
      <c r="Y59" s="120" t="s">
        <v>882</v>
      </c>
      <c r="Z59" s="133"/>
      <c r="AA59" s="131" t="s">
        <v>759</v>
      </c>
    </row>
    <row r="60" spans="1:27">
      <c r="A60" s="479"/>
      <c r="B60" s="482"/>
      <c r="C60" s="139"/>
      <c r="D60" s="140"/>
      <c r="E60" s="141">
        <v>1</v>
      </c>
      <c r="F60" s="121" t="s">
        <v>882</v>
      </c>
      <c r="G60" s="129"/>
      <c r="H60" s="134" t="s">
        <v>759</v>
      </c>
      <c r="I60" s="120" t="s">
        <v>760</v>
      </c>
      <c r="J60" s="127"/>
      <c r="K60" s="128"/>
      <c r="L60" s="141"/>
      <c r="M60" s="121" t="s">
        <v>882</v>
      </c>
      <c r="N60" s="132"/>
      <c r="O60" s="134" t="s">
        <v>759</v>
      </c>
      <c r="P60" s="127"/>
      <c r="Q60" s="128"/>
      <c r="R60" s="141"/>
      <c r="S60" s="121" t="s">
        <v>882</v>
      </c>
      <c r="T60" s="132"/>
      <c r="U60" s="134" t="s">
        <v>759</v>
      </c>
      <c r="V60" s="127"/>
      <c r="W60" s="128"/>
      <c r="X60" s="141"/>
      <c r="Y60" s="121" t="s">
        <v>882</v>
      </c>
      <c r="Z60" s="132"/>
      <c r="AA60" s="134" t="s">
        <v>759</v>
      </c>
    </row>
    <row r="61" spans="1:27">
      <c r="A61" s="479"/>
      <c r="B61" s="482"/>
      <c r="C61" s="137"/>
      <c r="D61" s="110"/>
      <c r="E61" s="128">
        <v>1</v>
      </c>
      <c r="F61" s="121" t="s">
        <v>882</v>
      </c>
      <c r="G61" s="129"/>
      <c r="H61" s="134" t="s">
        <v>759</v>
      </c>
      <c r="I61" s="120" t="s">
        <v>760</v>
      </c>
      <c r="J61" s="127"/>
      <c r="K61" s="140"/>
      <c r="L61" s="128"/>
      <c r="M61" s="121" t="s">
        <v>882</v>
      </c>
      <c r="N61" s="132"/>
      <c r="O61" s="134" t="s">
        <v>759</v>
      </c>
      <c r="P61" s="127"/>
      <c r="Q61" s="140"/>
      <c r="R61" s="128"/>
      <c r="S61" s="121" t="s">
        <v>882</v>
      </c>
      <c r="T61" s="132"/>
      <c r="U61" s="134" t="s">
        <v>759</v>
      </c>
      <c r="V61" s="127"/>
      <c r="W61" s="140"/>
      <c r="X61" s="128"/>
      <c r="Y61" s="121" t="s">
        <v>882</v>
      </c>
      <c r="Z61" s="132"/>
      <c r="AA61" s="134" t="s">
        <v>759</v>
      </c>
    </row>
    <row r="62" spans="1:27">
      <c r="A62" s="479"/>
      <c r="B62" s="482"/>
      <c r="C62" s="137"/>
      <c r="D62" s="128"/>
      <c r="E62" s="128">
        <v>1</v>
      </c>
      <c r="F62" s="121" t="s">
        <v>882</v>
      </c>
      <c r="G62" s="129"/>
      <c r="H62" s="126" t="s">
        <v>759</v>
      </c>
      <c r="I62" s="120" t="s">
        <v>760</v>
      </c>
      <c r="J62" s="127"/>
      <c r="K62" s="128"/>
      <c r="L62" s="128"/>
      <c r="M62" s="121" t="s">
        <v>882</v>
      </c>
      <c r="N62" s="132"/>
      <c r="O62" s="126" t="s">
        <v>759</v>
      </c>
      <c r="P62" s="127"/>
      <c r="Q62" s="128"/>
      <c r="R62" s="128"/>
      <c r="S62" s="121" t="s">
        <v>882</v>
      </c>
      <c r="T62" s="132"/>
      <c r="U62" s="126" t="s">
        <v>759</v>
      </c>
      <c r="V62" s="127"/>
      <c r="W62" s="128"/>
      <c r="X62" s="128"/>
      <c r="Y62" s="121" t="s">
        <v>882</v>
      </c>
      <c r="Z62" s="132"/>
      <c r="AA62" s="126" t="s">
        <v>759</v>
      </c>
    </row>
    <row r="63" spans="1:27">
      <c r="A63" s="479"/>
      <c r="B63" s="483"/>
      <c r="C63" s="138"/>
      <c r="E63" s="110">
        <v>1</v>
      </c>
      <c r="F63" s="121" t="s">
        <v>882</v>
      </c>
      <c r="G63" s="122"/>
      <c r="H63" s="126" t="s">
        <v>759</v>
      </c>
      <c r="I63" s="120" t="s">
        <v>760</v>
      </c>
      <c r="J63" s="118"/>
      <c r="K63" s="110"/>
      <c r="L63" s="110"/>
      <c r="M63" s="121" t="s">
        <v>882</v>
      </c>
      <c r="N63" s="122"/>
      <c r="O63" s="126" t="s">
        <v>759</v>
      </c>
      <c r="P63" s="118"/>
      <c r="Q63" s="110"/>
      <c r="R63" s="110"/>
      <c r="S63" s="121" t="s">
        <v>882</v>
      </c>
      <c r="T63" s="122"/>
      <c r="U63" s="126" t="s">
        <v>759</v>
      </c>
      <c r="V63" s="118"/>
      <c r="W63" s="110"/>
      <c r="X63" s="110"/>
      <c r="Y63" s="121" t="s">
        <v>882</v>
      </c>
      <c r="Z63" s="122"/>
      <c r="AA63" s="126" t="s">
        <v>759</v>
      </c>
    </row>
    <row r="64" spans="1:27" ht="18.75">
      <c r="A64" s="480"/>
      <c r="B64" s="115" t="s">
        <v>683</v>
      </c>
      <c r="C64" s="484">
        <f>SUMPRODUCT(E59:E63,G59:G63)</f>
        <v>0</v>
      </c>
      <c r="D64" s="485"/>
      <c r="E64" s="485"/>
      <c r="F64" s="485"/>
      <c r="G64" s="485"/>
      <c r="H64" s="486"/>
      <c r="I64" s="157"/>
      <c r="J64" s="484">
        <f>SUMPRODUCT(L59:L63,N59:N63)</f>
        <v>0</v>
      </c>
      <c r="K64" s="485"/>
      <c r="L64" s="485"/>
      <c r="M64" s="485"/>
      <c r="N64" s="485"/>
      <c r="O64" s="486"/>
      <c r="P64" s="484">
        <f>SUMPRODUCT(R59:R63,T59:T63)</f>
        <v>0</v>
      </c>
      <c r="Q64" s="485"/>
      <c r="R64" s="485"/>
      <c r="S64" s="485"/>
      <c r="T64" s="485"/>
      <c r="U64" s="486"/>
      <c r="V64" s="484">
        <f>SUMPRODUCT(X59:X63,Z59:Z63)</f>
        <v>0</v>
      </c>
      <c r="W64" s="485"/>
      <c r="X64" s="485"/>
      <c r="Y64" s="485"/>
      <c r="Z64" s="485"/>
      <c r="AA64" s="486"/>
    </row>
  </sheetData>
  <mergeCells count="51">
    <mergeCell ref="V44:AA44"/>
    <mergeCell ref="P52:U52"/>
    <mergeCell ref="P58:U58"/>
    <mergeCell ref="P64:U64"/>
    <mergeCell ref="V2:W2"/>
    <mergeCell ref="V52:AA52"/>
    <mergeCell ref="V58:AA58"/>
    <mergeCell ref="V64:AA64"/>
    <mergeCell ref="P2:Q2"/>
    <mergeCell ref="T2:U2"/>
    <mergeCell ref="P16:U16"/>
    <mergeCell ref="P19:U19"/>
    <mergeCell ref="P24:U24"/>
    <mergeCell ref="Z2:AA2"/>
    <mergeCell ref="V16:AA16"/>
    <mergeCell ref="V19:AA19"/>
    <mergeCell ref="V24:AA24"/>
    <mergeCell ref="A3:A16"/>
    <mergeCell ref="B3:B15"/>
    <mergeCell ref="C16:H16"/>
    <mergeCell ref="J16:O16"/>
    <mergeCell ref="A17:A19"/>
    <mergeCell ref="B17:B18"/>
    <mergeCell ref="C19:H19"/>
    <mergeCell ref="J19:O19"/>
    <mergeCell ref="A20:A24"/>
    <mergeCell ref="B20:B23"/>
    <mergeCell ref="C24:H24"/>
    <mergeCell ref="J24:O24"/>
    <mergeCell ref="A1:H1"/>
    <mergeCell ref="C2:F2"/>
    <mergeCell ref="G2:H2"/>
    <mergeCell ref="N2:O2"/>
    <mergeCell ref="N1:O1"/>
    <mergeCell ref="J2:K2"/>
    <mergeCell ref="A25:A44"/>
    <mergeCell ref="B25:B43"/>
    <mergeCell ref="C44:H44"/>
    <mergeCell ref="J44:O44"/>
    <mergeCell ref="A45:A52"/>
    <mergeCell ref="B45:B51"/>
    <mergeCell ref="C52:H52"/>
    <mergeCell ref="J52:O52"/>
    <mergeCell ref="A53:A58"/>
    <mergeCell ref="B53:B57"/>
    <mergeCell ref="C58:H58"/>
    <mergeCell ref="J58:O58"/>
    <mergeCell ref="A59:A64"/>
    <mergeCell ref="B59:B63"/>
    <mergeCell ref="C64:H64"/>
    <mergeCell ref="J64:O64"/>
  </mergeCells>
  <pageMargins left="0.7" right="0.7" top="0.75" bottom="0.75" header="0.3" footer="0.3"/>
  <pageSetup paperSize="9" fitToHeight="0"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F894B-FD4F-4B90-B1CE-CD70239109A8}">
  <sheetPr>
    <pageSetUpPr fitToPage="1"/>
  </sheetPr>
  <dimension ref="A1:V19"/>
  <sheetViews>
    <sheetView workbookViewId="0">
      <selection activeCell="R13" sqref="R13"/>
    </sheetView>
  </sheetViews>
  <sheetFormatPr defaultColWidth="11.42578125" defaultRowHeight="15"/>
  <cols>
    <col min="1" max="1" width="28.42578125" style="91" customWidth="1"/>
    <col min="2" max="2" width="14.7109375" style="91" customWidth="1"/>
    <col min="3" max="3" width="15.7109375" style="91" customWidth="1"/>
    <col min="4" max="4" width="46.7109375" style="91" customWidth="1"/>
    <col min="5" max="5" width="5.7109375" style="91" customWidth="1"/>
    <col min="6" max="8" width="10.7109375" style="91" customWidth="1"/>
    <col min="9" max="9" width="15.7109375" style="91" customWidth="1"/>
    <col min="10" max="10" width="45.7109375" style="91" customWidth="1"/>
    <col min="11" max="11" width="5.7109375" style="91" customWidth="1"/>
    <col min="12" max="14" width="10.7109375" style="91" customWidth="1"/>
    <col min="15" max="15" width="11.42578125" style="91"/>
    <col min="16" max="16" width="19.5703125" style="91" bestFit="1" customWidth="1"/>
    <col min="17" max="17" width="19.5703125" style="91" customWidth="1"/>
    <col min="18" max="16384" width="11.42578125" style="91"/>
  </cols>
  <sheetData>
    <row r="1" spans="1:22" ht="26.25">
      <c r="A1" s="469" t="s">
        <v>945</v>
      </c>
      <c r="B1" s="469"/>
      <c r="C1" s="469"/>
      <c r="D1" s="469"/>
      <c r="E1" s="469"/>
      <c r="F1" s="469"/>
      <c r="G1" s="469"/>
      <c r="H1" s="469"/>
      <c r="M1" s="91" t="s">
        <v>946</v>
      </c>
      <c r="N1" s="221">
        <f>G2-M2</f>
        <v>502.74490000000026</v>
      </c>
    </row>
    <row r="2" spans="1:22" ht="23.25">
      <c r="C2" s="487" t="s">
        <v>677</v>
      </c>
      <c r="D2" s="488"/>
      <c r="E2" s="488"/>
      <c r="F2" s="488"/>
      <c r="G2" s="489">
        <f>data!I2</f>
        <v>1478.5949000000003</v>
      </c>
      <c r="H2" s="490"/>
      <c r="I2" s="491" t="s">
        <v>678</v>
      </c>
      <c r="J2" s="492"/>
      <c r="K2" s="492"/>
      <c r="L2" s="492"/>
      <c r="M2" s="493">
        <f>N4+N6</f>
        <v>975.85</v>
      </c>
      <c r="N2" s="494"/>
    </row>
    <row r="3" spans="1:22" ht="60.75">
      <c r="A3" s="496"/>
      <c r="B3" s="481"/>
      <c r="C3" s="145" t="s">
        <v>705</v>
      </c>
      <c r="D3" s="145" t="s">
        <v>706</v>
      </c>
      <c r="E3" s="146" t="s">
        <v>711</v>
      </c>
      <c r="F3" s="146" t="s">
        <v>712</v>
      </c>
      <c r="G3" s="146" t="s">
        <v>707</v>
      </c>
      <c r="H3" s="114" t="s">
        <v>759</v>
      </c>
      <c r="I3" s="145" t="s">
        <v>705</v>
      </c>
      <c r="J3" s="145" t="s">
        <v>706</v>
      </c>
      <c r="K3" s="146" t="s">
        <v>711</v>
      </c>
      <c r="L3" s="146" t="s">
        <v>712</v>
      </c>
      <c r="M3" s="146" t="s">
        <v>707</v>
      </c>
      <c r="N3" s="114" t="s">
        <v>759</v>
      </c>
      <c r="Q3" s="307" t="s">
        <v>947</v>
      </c>
      <c r="R3" s="307" t="s">
        <v>948</v>
      </c>
      <c r="S3" s="450" t="s">
        <v>949</v>
      </c>
      <c r="T3" s="307" t="s">
        <v>950</v>
      </c>
      <c r="U3" s="307" t="s">
        <v>951</v>
      </c>
      <c r="V3" s="307" t="s">
        <v>87</v>
      </c>
    </row>
    <row r="4" spans="1:22" ht="33" customHeight="1">
      <c r="A4" s="497"/>
      <c r="B4" s="483"/>
      <c r="C4" s="165" t="s">
        <v>50</v>
      </c>
      <c r="D4" s="177" t="s">
        <v>51</v>
      </c>
      <c r="E4" s="142"/>
      <c r="F4" s="142"/>
      <c r="G4" s="34">
        <v>1</v>
      </c>
      <c r="H4" s="134">
        <v>825</v>
      </c>
      <c r="I4" s="107"/>
      <c r="J4" s="91" t="s">
        <v>952</v>
      </c>
      <c r="M4" s="34">
        <v>1</v>
      </c>
      <c r="N4" s="134">
        <v>469.93</v>
      </c>
      <c r="P4" s="65" t="s">
        <v>953</v>
      </c>
      <c r="Q4" s="308">
        <f>250+350</f>
        <v>600</v>
      </c>
      <c r="R4" s="308">
        <v>505.92</v>
      </c>
      <c r="S4" s="308">
        <v>439.74</v>
      </c>
      <c r="T4" s="309"/>
      <c r="U4" s="309"/>
      <c r="V4" s="309"/>
    </row>
    <row r="5" spans="1:22" ht="30.75">
      <c r="A5" s="498"/>
      <c r="B5" s="115"/>
      <c r="C5" s="170">
        <v>100101</v>
      </c>
      <c r="D5" s="178" t="s">
        <v>85</v>
      </c>
      <c r="E5" s="142"/>
      <c r="F5" s="142"/>
      <c r="G5" s="34">
        <v>1</v>
      </c>
      <c r="H5" s="171">
        <v>350</v>
      </c>
      <c r="I5" s="182"/>
      <c r="J5" s="190" t="s">
        <v>954</v>
      </c>
      <c r="K5" s="183"/>
      <c r="L5" s="183"/>
      <c r="M5" s="34">
        <v>1</v>
      </c>
      <c r="N5" s="184"/>
      <c r="P5" s="306" t="s">
        <v>955</v>
      </c>
      <c r="Q5" s="308">
        <v>825</v>
      </c>
      <c r="R5" s="308">
        <v>469.93</v>
      </c>
      <c r="S5" s="308"/>
      <c r="T5" s="309"/>
      <c r="U5" s="309"/>
      <c r="V5" s="309"/>
    </row>
    <row r="6" spans="1:22" ht="30.75">
      <c r="A6" s="496"/>
      <c r="B6" s="481"/>
      <c r="C6" s="165">
        <v>100105</v>
      </c>
      <c r="D6" s="177" t="s">
        <v>113</v>
      </c>
      <c r="E6"/>
      <c r="F6"/>
      <c r="G6" s="34">
        <v>1</v>
      </c>
      <c r="H6" s="114">
        <v>250</v>
      </c>
      <c r="I6" s="119"/>
      <c r="J6" s="120" t="s">
        <v>954</v>
      </c>
      <c r="K6" s="112"/>
      <c r="L6" s="116"/>
      <c r="M6" s="34">
        <v>1</v>
      </c>
      <c r="N6" s="114">
        <v>505.92</v>
      </c>
      <c r="P6" s="65" t="s">
        <v>956</v>
      </c>
      <c r="Q6" s="308">
        <f>SUM(Q4:Q5)</f>
        <v>1425</v>
      </c>
      <c r="R6" s="308">
        <f>SUM(R4:R5)</f>
        <v>975.85</v>
      </c>
      <c r="S6" s="308">
        <f t="shared" ref="S6:V6" si="0">SUM(S4:S5)</f>
        <v>439.74</v>
      </c>
      <c r="T6" s="308">
        <f t="shared" si="0"/>
        <v>0</v>
      </c>
      <c r="U6" s="308">
        <f t="shared" si="0"/>
        <v>0</v>
      </c>
      <c r="V6" s="308">
        <f t="shared" si="0"/>
        <v>0</v>
      </c>
    </row>
    <row r="7" spans="1:22">
      <c r="A7" s="497"/>
      <c r="B7" s="483"/>
      <c r="C7" s="170" t="s">
        <v>255</v>
      </c>
      <c r="D7" s="178" t="s">
        <v>256</v>
      </c>
      <c r="E7"/>
      <c r="F7"/>
      <c r="G7" s="34">
        <v>1</v>
      </c>
      <c r="H7" s="111">
        <v>21.08</v>
      </c>
      <c r="I7" s="118"/>
      <c r="J7" s="110" t="s">
        <v>519</v>
      </c>
      <c r="K7" s="108"/>
      <c r="L7" s="121"/>
      <c r="M7" s="109"/>
      <c r="N7" s="111"/>
    </row>
    <row r="8" spans="1:22" ht="18.75">
      <c r="A8" s="498"/>
      <c r="B8" s="115"/>
      <c r="C8" s="165" t="s">
        <v>314</v>
      </c>
      <c r="D8" s="177" t="s">
        <v>315</v>
      </c>
      <c r="E8"/>
      <c r="F8"/>
      <c r="G8" s="34">
        <v>1</v>
      </c>
      <c r="H8" s="171">
        <v>12.74</v>
      </c>
      <c r="I8" s="186"/>
      <c r="J8" s="190" t="s">
        <v>519</v>
      </c>
      <c r="K8" s="185"/>
      <c r="L8" s="185"/>
      <c r="M8" s="185"/>
      <c r="N8" s="187"/>
    </row>
    <row r="9" spans="1:22">
      <c r="A9" s="478"/>
      <c r="B9" s="481"/>
      <c r="C9" s="170">
        <v>100104</v>
      </c>
      <c r="D9" s="178" t="s">
        <v>337</v>
      </c>
      <c r="E9" s="168"/>
      <c r="F9" s="168"/>
      <c r="G9" s="34">
        <v>1</v>
      </c>
      <c r="H9" s="131">
        <v>7.63</v>
      </c>
      <c r="I9" s="119"/>
      <c r="J9" s="120" t="s">
        <v>519</v>
      </c>
      <c r="K9" s="112"/>
      <c r="L9" s="120"/>
      <c r="M9" s="133"/>
      <c r="N9" s="131"/>
    </row>
    <row r="10" spans="1:22" ht="30.75">
      <c r="A10" s="479"/>
      <c r="B10" s="482"/>
      <c r="C10" s="165" t="s">
        <v>341</v>
      </c>
      <c r="D10" s="177" t="s">
        <v>342</v>
      </c>
      <c r="E10" s="169"/>
      <c r="F10" s="169"/>
      <c r="G10" s="34">
        <v>6</v>
      </c>
      <c r="H10" s="126">
        <v>6.73</v>
      </c>
      <c r="I10" s="127"/>
      <c r="J10" s="110" t="s">
        <v>957</v>
      </c>
      <c r="K10" s="128"/>
      <c r="L10" s="110"/>
      <c r="M10" s="132"/>
      <c r="N10" s="126"/>
    </row>
    <row r="11" spans="1:22">
      <c r="A11" s="479"/>
      <c r="B11" s="482"/>
      <c r="C11" s="170">
        <v>100106</v>
      </c>
      <c r="D11" s="178" t="s">
        <v>360</v>
      </c>
      <c r="E11"/>
      <c r="F11"/>
      <c r="G11" s="37">
        <v>7</v>
      </c>
      <c r="H11" s="126">
        <v>1.64</v>
      </c>
      <c r="I11" s="127"/>
      <c r="J11" s="128" t="s">
        <v>519</v>
      </c>
      <c r="K11" s="128"/>
      <c r="L11" s="110"/>
      <c r="M11" s="132"/>
      <c r="N11" s="126"/>
    </row>
    <row r="12" spans="1:22" ht="31.5" customHeight="1">
      <c r="A12" s="479"/>
      <c r="B12" s="483"/>
      <c r="C12" s="165" t="s">
        <v>392</v>
      </c>
      <c r="D12" s="177" t="s">
        <v>393</v>
      </c>
      <c r="E12"/>
      <c r="F12"/>
      <c r="G12" s="37">
        <v>1</v>
      </c>
      <c r="H12" s="126"/>
      <c r="I12" s="165" t="s">
        <v>392</v>
      </c>
      <c r="J12" s="177" t="s">
        <v>393</v>
      </c>
      <c r="K12" s="110"/>
      <c r="L12" s="110"/>
      <c r="M12" s="122"/>
      <c r="N12" s="126"/>
    </row>
    <row r="13" spans="1:22" ht="30.75">
      <c r="A13" s="480"/>
      <c r="B13" s="115"/>
      <c r="C13" s="170" t="s">
        <v>411</v>
      </c>
      <c r="D13" s="178" t="s">
        <v>412</v>
      </c>
      <c r="E13"/>
      <c r="F13"/>
      <c r="G13" s="34">
        <v>4</v>
      </c>
      <c r="H13" s="171"/>
      <c r="I13" s="170" t="s">
        <v>411</v>
      </c>
      <c r="J13" s="178" t="s">
        <v>412</v>
      </c>
      <c r="K13" s="188"/>
      <c r="L13" s="188"/>
      <c r="M13" s="188"/>
      <c r="N13" s="189"/>
    </row>
    <row r="14" spans="1:22" ht="30.75">
      <c r="A14" s="478"/>
      <c r="B14" s="481"/>
      <c r="C14" s="165" t="s">
        <v>425</v>
      </c>
      <c r="D14" s="179" t="s">
        <v>426</v>
      </c>
      <c r="E14"/>
      <c r="F14"/>
      <c r="G14" s="34">
        <v>6</v>
      </c>
      <c r="H14" s="131"/>
      <c r="I14" s="119"/>
      <c r="J14" s="120" t="s">
        <v>519</v>
      </c>
      <c r="K14" s="112"/>
      <c r="L14" s="120"/>
      <c r="M14" s="133"/>
      <c r="N14" s="131"/>
    </row>
    <row r="15" spans="1:22">
      <c r="A15" s="479"/>
      <c r="B15" s="482"/>
      <c r="C15" s="170" t="s">
        <v>458</v>
      </c>
      <c r="D15" s="180" t="s">
        <v>459</v>
      </c>
      <c r="E15"/>
      <c r="F15"/>
      <c r="G15" s="34">
        <v>2</v>
      </c>
      <c r="H15" s="134"/>
      <c r="I15" s="127"/>
      <c r="J15" s="128" t="s">
        <v>958</v>
      </c>
      <c r="K15" s="141"/>
      <c r="L15" s="121"/>
      <c r="M15" s="132"/>
      <c r="N15" s="134"/>
    </row>
    <row r="16" spans="1:22">
      <c r="A16" s="479"/>
      <c r="B16" s="482"/>
      <c r="C16" s="165" t="s">
        <v>470</v>
      </c>
      <c r="D16" s="181" t="s">
        <v>471</v>
      </c>
      <c r="E16"/>
      <c r="F16"/>
      <c r="G16" s="34">
        <v>2</v>
      </c>
      <c r="H16" s="134"/>
      <c r="I16" s="127"/>
      <c r="J16" s="140" t="s">
        <v>959</v>
      </c>
      <c r="K16" s="128"/>
      <c r="L16" s="121"/>
      <c r="M16" s="132"/>
      <c r="N16" s="134"/>
    </row>
    <row r="17" spans="1:14" ht="30.75">
      <c r="A17" s="479"/>
      <c r="B17" s="482"/>
      <c r="C17" s="170" t="s">
        <v>485</v>
      </c>
      <c r="D17" s="303" t="s">
        <v>486</v>
      </c>
      <c r="E17"/>
      <c r="F17"/>
      <c r="G17" s="34">
        <v>4</v>
      </c>
      <c r="H17" s="126"/>
      <c r="I17" s="127"/>
      <c r="J17" s="128" t="s">
        <v>960</v>
      </c>
      <c r="K17" s="128"/>
      <c r="L17" s="110"/>
      <c r="M17" s="132"/>
      <c r="N17" s="126"/>
    </row>
    <row r="18" spans="1:14">
      <c r="A18" s="479"/>
      <c r="B18" s="483"/>
      <c r="C18" s="165" t="s">
        <v>488</v>
      </c>
      <c r="D18" s="181" t="s">
        <v>489</v>
      </c>
      <c r="E18"/>
      <c r="F18"/>
      <c r="G18" s="34">
        <v>4</v>
      </c>
      <c r="H18" s="126"/>
      <c r="I18" s="118"/>
      <c r="J18" s="110"/>
      <c r="K18" s="110"/>
      <c r="L18" s="110"/>
      <c r="M18" s="122"/>
      <c r="N18" s="126"/>
    </row>
    <row r="19" spans="1:14" ht="18.75">
      <c r="A19" s="480"/>
      <c r="B19" s="115"/>
      <c r="C19" s="484"/>
      <c r="D19" s="485"/>
      <c r="E19" s="485"/>
      <c r="F19" s="485"/>
      <c r="G19" s="485"/>
      <c r="H19" s="486"/>
      <c r="I19" s="506"/>
      <c r="J19" s="507"/>
      <c r="K19" s="507"/>
      <c r="L19" s="507"/>
      <c r="M19" s="507"/>
      <c r="N19" s="508"/>
    </row>
  </sheetData>
  <mergeCells count="15">
    <mergeCell ref="I2:L2"/>
    <mergeCell ref="M2:N2"/>
    <mergeCell ref="A3:A5"/>
    <mergeCell ref="B3:B4"/>
    <mergeCell ref="A1:H1"/>
    <mergeCell ref="C2:F2"/>
    <mergeCell ref="G2:H2"/>
    <mergeCell ref="A14:A19"/>
    <mergeCell ref="B14:B18"/>
    <mergeCell ref="C19:H19"/>
    <mergeCell ref="I19:N19"/>
    <mergeCell ref="A6:A8"/>
    <mergeCell ref="B6:B7"/>
    <mergeCell ref="A9:A13"/>
    <mergeCell ref="B9:B12"/>
  </mergeCells>
  <conditionalFormatting sqref="G6:G8">
    <cfRule type="expression" dxfId="6" priority="7">
      <formula>IF(RIGHT(G6,6)="SLDASM",1,0)</formula>
    </cfRule>
  </conditionalFormatting>
  <conditionalFormatting sqref="C4:C18">
    <cfRule type="duplicateValues" dxfId="5" priority="4"/>
  </conditionalFormatting>
  <conditionalFormatting sqref="C4:C6">
    <cfRule type="duplicateValues" dxfId="4" priority="5"/>
  </conditionalFormatting>
  <conditionalFormatting sqref="C4:C18">
    <cfRule type="duplicateValues" dxfId="3" priority="6"/>
  </conditionalFormatting>
  <conditionalFormatting sqref="C7:D10">
    <cfRule type="expression" dxfId="2" priority="3">
      <formula>IF(RIGHT(C7,6)="SLDASM",1,0)</formula>
    </cfRule>
  </conditionalFormatting>
  <conditionalFormatting sqref="I12:I13">
    <cfRule type="duplicateValues" dxfId="1" priority="1"/>
  </conditionalFormatting>
  <conditionalFormatting sqref="I12:I13">
    <cfRule type="duplicateValues" dxfId="0" priority="2"/>
  </conditionalFormatting>
  <pageMargins left="0.7" right="0.7" top="0.75" bottom="0.75" header="0.3" footer="0.3"/>
  <pageSetup paperSize="9" fitToHeight="0"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AAAD6-D51D-4C3E-A5AF-9A0B256810AA}">
  <sheetPr>
    <pageSetUpPr fitToPage="1"/>
  </sheetPr>
  <dimension ref="A1:Z21"/>
  <sheetViews>
    <sheetView workbookViewId="0">
      <selection activeCell="AG8" sqref="AG8"/>
    </sheetView>
  </sheetViews>
  <sheetFormatPr defaultColWidth="11.42578125" defaultRowHeight="15"/>
  <cols>
    <col min="1" max="1" width="28.42578125" style="91" customWidth="1"/>
    <col min="2" max="2" width="14.7109375" style="91" customWidth="1"/>
    <col min="3" max="3" width="15.7109375" style="91" customWidth="1"/>
    <col min="4" max="4" width="45.7109375" style="91" customWidth="1"/>
    <col min="5" max="5" width="5.7109375" style="91" customWidth="1"/>
    <col min="6" max="8" width="10.7109375" style="91" customWidth="1"/>
    <col min="9" max="9" width="15.7109375" style="91" customWidth="1"/>
    <col min="10" max="10" width="45.7109375" style="91" customWidth="1"/>
    <col min="11" max="11" width="5.7109375" style="91" customWidth="1"/>
    <col min="12" max="14" width="10.7109375" style="91" customWidth="1"/>
    <col min="15" max="15" width="15.7109375" style="91" customWidth="1"/>
    <col min="16" max="16" width="45.7109375" style="91" customWidth="1"/>
    <col min="17" max="17" width="5.7109375" style="91" customWidth="1"/>
    <col min="18" max="20" width="10.7109375" style="91" customWidth="1"/>
    <col min="21" max="21" width="15.7109375" style="91" customWidth="1"/>
    <col min="22" max="22" width="54.42578125" style="91" customWidth="1"/>
    <col min="23" max="23" width="5.7109375" style="91" customWidth="1"/>
    <col min="24" max="26" width="10.7109375" style="91" customWidth="1"/>
    <col min="27" max="16384" width="11.42578125" style="91"/>
  </cols>
  <sheetData>
    <row r="1" spans="1:26" ht="26.25">
      <c r="A1" s="469" t="s">
        <v>961</v>
      </c>
      <c r="B1" s="469"/>
      <c r="C1" s="469"/>
      <c r="D1" s="469"/>
      <c r="E1" s="469"/>
      <c r="F1" s="469"/>
      <c r="G1" s="469"/>
      <c r="H1" s="469"/>
      <c r="L1" s="91" t="s">
        <v>962</v>
      </c>
      <c r="M1" s="221"/>
      <c r="T1" s="221">
        <f>G2-S2</f>
        <v>214.58000000000004</v>
      </c>
      <c r="Z1" s="221">
        <f>G2-Y2</f>
        <v>470.24</v>
      </c>
    </row>
    <row r="2" spans="1:26" ht="23.25">
      <c r="C2" s="487" t="s">
        <v>677</v>
      </c>
      <c r="D2" s="488"/>
      <c r="E2" s="488"/>
      <c r="F2" s="488"/>
      <c r="G2" s="489">
        <f>C5+C8+C13+H15</f>
        <v>678.97</v>
      </c>
      <c r="H2" s="490"/>
      <c r="I2" s="491" t="s">
        <v>678</v>
      </c>
      <c r="J2" s="492"/>
      <c r="K2" s="492"/>
      <c r="L2" s="492"/>
      <c r="M2" s="493">
        <f>I5+I8+I13</f>
        <v>450.92</v>
      </c>
      <c r="N2" s="494"/>
      <c r="O2" s="487" t="s">
        <v>963</v>
      </c>
      <c r="P2" s="488"/>
      <c r="Q2" s="488"/>
      <c r="R2" s="488"/>
      <c r="S2" s="489">
        <f>O5+O8+O13+T15</f>
        <v>464.39</v>
      </c>
      <c r="T2" s="490"/>
      <c r="U2" s="487" t="s">
        <v>964</v>
      </c>
      <c r="V2" s="488"/>
      <c r="W2" s="488"/>
      <c r="X2" s="488"/>
      <c r="Y2" s="489">
        <f>U5+U8+U13+Z15</f>
        <v>208.73000000000002</v>
      </c>
      <c r="Z2" s="490"/>
    </row>
    <row r="3" spans="1:26">
      <c r="A3" s="496" t="s">
        <v>965</v>
      </c>
      <c r="B3" s="481" t="s">
        <v>756</v>
      </c>
      <c r="C3" s="117" t="s">
        <v>130</v>
      </c>
      <c r="D3" s="112" t="s">
        <v>131</v>
      </c>
      <c r="E3" s="112">
        <v>2</v>
      </c>
      <c r="F3" s="112" t="s">
        <v>966</v>
      </c>
      <c r="G3" s="113">
        <v>65.010000000000005</v>
      </c>
      <c r="H3" s="114" t="s">
        <v>759</v>
      </c>
      <c r="I3" s="117" t="s">
        <v>967</v>
      </c>
      <c r="J3" s="112" t="s">
        <v>968</v>
      </c>
      <c r="K3" s="112">
        <v>2</v>
      </c>
      <c r="L3" s="112" t="s">
        <v>966</v>
      </c>
      <c r="M3" s="113">
        <v>62.93</v>
      </c>
      <c r="N3" s="114" t="s">
        <v>759</v>
      </c>
      <c r="O3" s="117"/>
      <c r="P3" s="112" t="s">
        <v>969</v>
      </c>
      <c r="Q3" s="112">
        <v>2</v>
      </c>
      <c r="R3" s="112" t="s">
        <v>966</v>
      </c>
      <c r="S3" s="113">
        <v>24.4</v>
      </c>
      <c r="T3" s="114" t="s">
        <v>759</v>
      </c>
      <c r="U3" s="117"/>
      <c r="V3" s="112" t="s">
        <v>969</v>
      </c>
      <c r="W3" s="112">
        <v>2</v>
      </c>
      <c r="X3" s="112" t="s">
        <v>966</v>
      </c>
      <c r="Y3" s="113">
        <v>24.4</v>
      </c>
      <c r="Z3" s="114" t="s">
        <v>759</v>
      </c>
    </row>
    <row r="4" spans="1:26">
      <c r="A4" s="497"/>
      <c r="B4" s="483"/>
      <c r="C4" s="107">
        <v>100117</v>
      </c>
      <c r="D4" s="91" t="s">
        <v>168</v>
      </c>
      <c r="E4" s="91">
        <v>2</v>
      </c>
      <c r="F4" s="91" t="s">
        <v>966</v>
      </c>
      <c r="G4" s="135">
        <v>17.829999999999998</v>
      </c>
      <c r="H4" s="134" t="s">
        <v>759</v>
      </c>
      <c r="I4" s="107"/>
      <c r="M4" s="125"/>
      <c r="N4" s="134"/>
      <c r="O4" s="107"/>
      <c r="P4" s="91" t="s">
        <v>168</v>
      </c>
      <c r="Q4" s="91">
        <v>2</v>
      </c>
      <c r="R4" s="91" t="s">
        <v>966</v>
      </c>
      <c r="S4" s="172">
        <v>17.829999999999998</v>
      </c>
      <c r="T4" s="134" t="s">
        <v>759</v>
      </c>
      <c r="U4" s="107"/>
      <c r="Y4" s="172"/>
      <c r="Z4" s="134" t="s">
        <v>759</v>
      </c>
    </row>
    <row r="5" spans="1:26" ht="18.75">
      <c r="A5" s="498"/>
      <c r="B5" s="115" t="s">
        <v>683</v>
      </c>
      <c r="C5" s="484">
        <f>SUMPRODUCT(E3:E4,G3:G4)</f>
        <v>165.68</v>
      </c>
      <c r="D5" s="485"/>
      <c r="E5" s="485"/>
      <c r="F5" s="485"/>
      <c r="G5" s="485"/>
      <c r="H5" s="486"/>
      <c r="I5" s="484">
        <f>SUMPRODUCT(K3:K4,M3:M4)</f>
        <v>125.86</v>
      </c>
      <c r="J5" s="485"/>
      <c r="K5" s="485"/>
      <c r="L5" s="485"/>
      <c r="M5" s="485"/>
      <c r="N5" s="486"/>
      <c r="O5" s="484">
        <f>Q3*S3+Q4*S4</f>
        <v>84.46</v>
      </c>
      <c r="P5" s="485"/>
      <c r="Q5" s="485"/>
      <c r="R5" s="485"/>
      <c r="S5" s="485"/>
      <c r="T5" s="486"/>
      <c r="U5" s="484">
        <f>W3*Y3+W4*Y4</f>
        <v>48.8</v>
      </c>
      <c r="V5" s="485"/>
      <c r="W5" s="485"/>
      <c r="X5" s="485"/>
      <c r="Y5" s="485"/>
      <c r="Z5" s="486"/>
    </row>
    <row r="6" spans="1:26">
      <c r="A6" s="496" t="s">
        <v>970</v>
      </c>
      <c r="B6" s="481" t="s">
        <v>756</v>
      </c>
      <c r="C6" s="119">
        <v>100114</v>
      </c>
      <c r="D6" s="120" t="s">
        <v>149</v>
      </c>
      <c r="E6" s="112">
        <v>1</v>
      </c>
      <c r="F6" s="116" t="s">
        <v>966</v>
      </c>
      <c r="G6" s="123">
        <v>96.18</v>
      </c>
      <c r="H6" s="114" t="s">
        <v>759</v>
      </c>
      <c r="I6" s="119" t="s">
        <v>971</v>
      </c>
      <c r="J6" s="120" t="s">
        <v>972</v>
      </c>
      <c r="K6" s="112">
        <v>2</v>
      </c>
      <c r="L6" s="116" t="s">
        <v>966</v>
      </c>
      <c r="M6" s="124">
        <v>51.03</v>
      </c>
      <c r="N6" s="114" t="s">
        <v>759</v>
      </c>
      <c r="O6" s="119" t="s">
        <v>973</v>
      </c>
      <c r="P6" s="120" t="s">
        <v>974</v>
      </c>
      <c r="Q6" s="112">
        <v>4</v>
      </c>
      <c r="R6" s="116" t="s">
        <v>966</v>
      </c>
      <c r="S6" s="123">
        <v>0.9</v>
      </c>
      <c r="T6" s="114" t="s">
        <v>759</v>
      </c>
      <c r="U6" s="119" t="s">
        <v>973</v>
      </c>
      <c r="V6" s="120" t="s">
        <v>974</v>
      </c>
      <c r="W6" s="112">
        <v>4</v>
      </c>
      <c r="X6" s="116" t="s">
        <v>966</v>
      </c>
      <c r="Y6" s="123">
        <v>0.9</v>
      </c>
      <c r="Z6" s="114" t="s">
        <v>759</v>
      </c>
    </row>
    <row r="7" spans="1:26">
      <c r="A7" s="497"/>
      <c r="B7" s="483"/>
      <c r="C7" s="118">
        <v>100116</v>
      </c>
      <c r="D7" s="110" t="s">
        <v>153</v>
      </c>
      <c r="E7" s="108">
        <v>1</v>
      </c>
      <c r="F7" s="121" t="s">
        <v>966</v>
      </c>
      <c r="G7" s="109">
        <v>96.18</v>
      </c>
      <c r="H7" s="111" t="s">
        <v>759</v>
      </c>
      <c r="I7" s="118" t="s">
        <v>975</v>
      </c>
      <c r="J7" s="110" t="s">
        <v>976</v>
      </c>
      <c r="K7" s="108">
        <v>2</v>
      </c>
      <c r="L7" s="121" t="s">
        <v>966</v>
      </c>
      <c r="M7" s="215">
        <v>33</v>
      </c>
      <c r="N7" s="111" t="s">
        <v>759</v>
      </c>
      <c r="O7" s="118" t="s">
        <v>977</v>
      </c>
      <c r="P7" s="110" t="s">
        <v>978</v>
      </c>
      <c r="Q7" s="108">
        <v>2</v>
      </c>
      <c r="R7" s="121" t="s">
        <v>966</v>
      </c>
      <c r="S7" s="109">
        <v>27.7</v>
      </c>
      <c r="T7" s="111" t="s">
        <v>759</v>
      </c>
      <c r="U7" s="118" t="s">
        <v>977</v>
      </c>
      <c r="V7" s="110" t="s">
        <v>978</v>
      </c>
      <c r="W7" s="108">
        <v>2</v>
      </c>
      <c r="X7" s="121" t="s">
        <v>966</v>
      </c>
      <c r="Y7" s="109">
        <v>27.7</v>
      </c>
      <c r="Z7" s="111" t="s">
        <v>759</v>
      </c>
    </row>
    <row r="8" spans="1:26" ht="18.75">
      <c r="A8" s="498"/>
      <c r="B8" s="115" t="s">
        <v>683</v>
      </c>
      <c r="C8" s="484">
        <f>SUMPRODUCT(E6:E7,G6:G7)</f>
        <v>192.36</v>
      </c>
      <c r="D8" s="485"/>
      <c r="E8" s="485"/>
      <c r="F8" s="485"/>
      <c r="G8" s="485"/>
      <c r="H8" s="486"/>
      <c r="I8" s="484">
        <f>SUMPRODUCT(K6:K7,M6:M7)</f>
        <v>168.06</v>
      </c>
      <c r="J8" s="485"/>
      <c r="K8" s="485"/>
      <c r="L8" s="485"/>
      <c r="M8" s="485"/>
      <c r="N8" s="486"/>
      <c r="O8" s="484">
        <f>Q6*S6+Q7*S7</f>
        <v>59</v>
      </c>
      <c r="P8" s="485"/>
      <c r="Q8" s="485"/>
      <c r="R8" s="485"/>
      <c r="S8" s="485"/>
      <c r="T8" s="486"/>
      <c r="U8" s="484">
        <f>W6*Y6+W7*Y7</f>
        <v>59</v>
      </c>
      <c r="V8" s="485"/>
      <c r="W8" s="485"/>
      <c r="X8" s="485"/>
      <c r="Y8" s="485"/>
      <c r="Z8" s="486"/>
    </row>
    <row r="9" spans="1:26">
      <c r="A9" s="478" t="s">
        <v>979</v>
      </c>
      <c r="B9" s="481" t="s">
        <v>756</v>
      </c>
      <c r="C9" s="136" t="s">
        <v>980</v>
      </c>
      <c r="D9" s="120" t="s">
        <v>981</v>
      </c>
      <c r="E9" s="112">
        <v>1</v>
      </c>
      <c r="F9" s="120" t="s">
        <v>966</v>
      </c>
      <c r="G9" s="130">
        <v>48.89</v>
      </c>
      <c r="H9" s="131" t="s">
        <v>759</v>
      </c>
      <c r="I9" s="119" t="s">
        <v>982</v>
      </c>
      <c r="J9" s="120" t="s">
        <v>983</v>
      </c>
      <c r="K9" s="112">
        <v>1</v>
      </c>
      <c r="L9" s="120" t="s">
        <v>966</v>
      </c>
      <c r="M9" s="133">
        <v>39</v>
      </c>
      <c r="N9" s="131" t="s">
        <v>759</v>
      </c>
      <c r="O9" s="136" t="s">
        <v>980</v>
      </c>
      <c r="P9" s="120" t="s">
        <v>981</v>
      </c>
      <c r="Q9" s="112">
        <v>1</v>
      </c>
      <c r="R9" s="120" t="s">
        <v>966</v>
      </c>
      <c r="S9" s="130">
        <v>48.89</v>
      </c>
      <c r="T9" s="131" t="s">
        <v>759</v>
      </c>
      <c r="U9" s="136" t="s">
        <v>980</v>
      </c>
      <c r="V9" s="120" t="s">
        <v>981</v>
      </c>
      <c r="W9" s="112">
        <v>1</v>
      </c>
      <c r="X9" s="120" t="s">
        <v>966</v>
      </c>
      <c r="Y9" s="130">
        <v>48.89</v>
      </c>
      <c r="Z9" s="131" t="s">
        <v>759</v>
      </c>
    </row>
    <row r="10" spans="1:26">
      <c r="A10" s="479"/>
      <c r="B10" s="482"/>
      <c r="C10" s="127" t="s">
        <v>984</v>
      </c>
      <c r="D10" s="110" t="s">
        <v>985</v>
      </c>
      <c r="E10" s="128">
        <v>4</v>
      </c>
      <c r="F10" s="110" t="s">
        <v>966</v>
      </c>
      <c r="G10" s="129">
        <v>5.55</v>
      </c>
      <c r="H10" s="126" t="s">
        <v>759</v>
      </c>
      <c r="I10" s="127" t="s">
        <v>986</v>
      </c>
      <c r="J10" s="128" t="s">
        <v>987</v>
      </c>
      <c r="K10" s="128">
        <v>2</v>
      </c>
      <c r="L10" s="110" t="s">
        <v>966</v>
      </c>
      <c r="M10" s="132">
        <v>14.4</v>
      </c>
      <c r="N10" s="126" t="s">
        <v>759</v>
      </c>
      <c r="O10" s="127" t="s">
        <v>984</v>
      </c>
      <c r="P10" s="110" t="s">
        <v>985</v>
      </c>
      <c r="Q10" s="128">
        <v>4</v>
      </c>
      <c r="R10" s="110" t="s">
        <v>966</v>
      </c>
      <c r="S10" s="129">
        <v>5.55</v>
      </c>
      <c r="T10" s="126" t="s">
        <v>759</v>
      </c>
      <c r="U10" s="127" t="s">
        <v>984</v>
      </c>
      <c r="V10" s="110" t="s">
        <v>985</v>
      </c>
      <c r="W10" s="128">
        <v>4</v>
      </c>
      <c r="X10" s="110" t="s">
        <v>966</v>
      </c>
      <c r="Y10" s="129">
        <v>5.55</v>
      </c>
      <c r="Z10" s="126" t="s">
        <v>759</v>
      </c>
    </row>
    <row r="11" spans="1:26">
      <c r="A11" s="479"/>
      <c r="B11" s="482"/>
      <c r="C11" s="137" t="s">
        <v>716</v>
      </c>
      <c r="D11" s="128" t="s">
        <v>717</v>
      </c>
      <c r="E11" s="128">
        <v>2</v>
      </c>
      <c r="F11" s="110" t="s">
        <v>966</v>
      </c>
      <c r="G11" s="129">
        <v>110</v>
      </c>
      <c r="H11" s="126" t="s">
        <v>759</v>
      </c>
      <c r="I11" s="127" t="s">
        <v>988</v>
      </c>
      <c r="J11" s="128" t="s">
        <v>989</v>
      </c>
      <c r="K11" s="128">
        <v>2</v>
      </c>
      <c r="L11" s="110" t="s">
        <v>966</v>
      </c>
      <c r="M11" s="132">
        <v>17.8</v>
      </c>
      <c r="N11" s="126" t="s">
        <v>759</v>
      </c>
      <c r="O11" s="137" t="s">
        <v>716</v>
      </c>
      <c r="P11" s="128" t="s">
        <v>717</v>
      </c>
      <c r="Q11" s="128">
        <v>2</v>
      </c>
      <c r="R11" s="110" t="s">
        <v>966</v>
      </c>
      <c r="S11" s="129">
        <v>110</v>
      </c>
      <c r="T11" s="126" t="s">
        <v>759</v>
      </c>
      <c r="U11" s="118" t="s">
        <v>990</v>
      </c>
      <c r="V11" s="110" t="s">
        <v>991</v>
      </c>
      <c r="W11" s="110">
        <v>4</v>
      </c>
      <c r="X11" s="110" t="s">
        <v>966</v>
      </c>
      <c r="Y11" s="122">
        <v>7.46</v>
      </c>
      <c r="Z11" s="126" t="s">
        <v>759</v>
      </c>
    </row>
    <row r="12" spans="1:26">
      <c r="A12" s="479"/>
      <c r="B12" s="483"/>
      <c r="C12" s="118" t="s">
        <v>990</v>
      </c>
      <c r="D12" s="91" t="s">
        <v>991</v>
      </c>
      <c r="E12" s="110">
        <v>4</v>
      </c>
      <c r="F12" s="110" t="s">
        <v>966</v>
      </c>
      <c r="G12" s="122">
        <v>7.46</v>
      </c>
      <c r="H12" s="126" t="s">
        <v>759</v>
      </c>
      <c r="I12" s="118" t="s">
        <v>992</v>
      </c>
      <c r="J12" s="110" t="s">
        <v>993</v>
      </c>
      <c r="K12" s="110">
        <v>4</v>
      </c>
      <c r="L12" s="110" t="s">
        <v>966</v>
      </c>
      <c r="M12" s="122">
        <v>13.4</v>
      </c>
      <c r="N12" s="126" t="s">
        <v>759</v>
      </c>
      <c r="O12" s="118" t="s">
        <v>990</v>
      </c>
      <c r="P12" s="91" t="s">
        <v>991</v>
      </c>
      <c r="Q12" s="110">
        <v>4</v>
      </c>
      <c r="R12" s="110" t="s">
        <v>966</v>
      </c>
      <c r="S12" s="122">
        <v>7.46</v>
      </c>
      <c r="T12" s="126" t="s">
        <v>759</v>
      </c>
      <c r="U12" s="118"/>
      <c r="W12" s="110"/>
      <c r="X12" s="110"/>
      <c r="Y12" s="122"/>
      <c r="Z12" s="126"/>
    </row>
    <row r="13" spans="1:26" ht="18.75">
      <c r="A13" s="509"/>
      <c r="B13" s="98" t="s">
        <v>683</v>
      </c>
      <c r="C13" s="484" cm="1">
        <f t="array" ref="C13">SUMPRODUCT(E9:E12*G9:G12)</f>
        <v>320.93</v>
      </c>
      <c r="D13" s="485"/>
      <c r="E13" s="485"/>
      <c r="F13" s="485"/>
      <c r="G13" s="485"/>
      <c r="H13" s="486"/>
      <c r="I13" s="484" cm="1">
        <f t="array" ref="I13">SUMPRODUCT(K9:K12*M9:M12)</f>
        <v>157</v>
      </c>
      <c r="J13" s="485"/>
      <c r="K13" s="485"/>
      <c r="L13" s="485"/>
      <c r="M13" s="485"/>
      <c r="N13" s="486"/>
      <c r="O13" s="484">
        <f>Q9*S9+Q10*S10+Q11*S11+Q12*S12</f>
        <v>320.93</v>
      </c>
      <c r="P13" s="485"/>
      <c r="Q13" s="485"/>
      <c r="R13" s="485"/>
      <c r="S13" s="485"/>
      <c r="T13" s="486"/>
      <c r="U13" s="484">
        <f>W9*Y9+W10*Y10+W11*Y11+W12*Y12</f>
        <v>100.93</v>
      </c>
      <c r="V13" s="485"/>
      <c r="W13" s="485"/>
      <c r="X13" s="485"/>
      <c r="Y13" s="485"/>
      <c r="Z13" s="486"/>
    </row>
    <row r="14" spans="1:26">
      <c r="A14" s="511" t="s">
        <v>994</v>
      </c>
      <c r="B14" s="426" t="s">
        <v>756</v>
      </c>
      <c r="C14" s="120" t="s">
        <v>103</v>
      </c>
      <c r="D14" s="120" t="s">
        <v>104</v>
      </c>
      <c r="E14" s="112">
        <v>1</v>
      </c>
      <c r="F14" s="116" t="s">
        <v>966</v>
      </c>
      <c r="G14" s="123">
        <v>257.68</v>
      </c>
      <c r="H14" s="114" t="s">
        <v>759</v>
      </c>
      <c r="O14" s="120" t="s">
        <v>103</v>
      </c>
      <c r="P14" s="120" t="s">
        <v>104</v>
      </c>
      <c r="Q14" s="112">
        <v>1</v>
      </c>
      <c r="R14" s="116" t="s">
        <v>966</v>
      </c>
      <c r="S14" s="123">
        <v>257.68</v>
      </c>
      <c r="T14" s="114" t="s">
        <v>759</v>
      </c>
      <c r="U14" s="428" t="s">
        <v>714</v>
      </c>
      <c r="V14" s="120" t="s">
        <v>995</v>
      </c>
      <c r="W14" s="112">
        <v>1</v>
      </c>
      <c r="X14" s="116" t="s">
        <v>966</v>
      </c>
      <c r="Y14" s="123">
        <v>217.6</v>
      </c>
      <c r="Z14" s="114" t="s">
        <v>759</v>
      </c>
    </row>
    <row r="15" spans="1:26" ht="18.75">
      <c r="A15" s="512"/>
      <c r="B15" s="427" t="s">
        <v>683</v>
      </c>
      <c r="C15" s="510">
        <f>SUMPRODUCT(E14,G14)</f>
        <v>257.68</v>
      </c>
      <c r="D15" s="485"/>
      <c r="E15" s="485"/>
      <c r="F15" s="485"/>
      <c r="G15" s="485"/>
      <c r="H15" s="486"/>
      <c r="O15" s="510">
        <f>SUMPRODUCT(Q14,S14)</f>
        <v>257.68</v>
      </c>
      <c r="P15" s="485"/>
      <c r="Q15" s="485"/>
      <c r="R15" s="485"/>
      <c r="S15" s="485"/>
      <c r="T15" s="486"/>
      <c r="U15" s="510">
        <f>SUMPRODUCT(W14,Y14)</f>
        <v>217.6</v>
      </c>
      <c r="V15" s="485"/>
      <c r="W15" s="485"/>
      <c r="X15" s="485"/>
      <c r="Y15" s="485"/>
      <c r="Z15" s="486"/>
    </row>
    <row r="19" spans="13:22">
      <c r="M19" s="221"/>
    </row>
    <row r="21" spans="13:22">
      <c r="V21" s="221"/>
    </row>
  </sheetData>
  <mergeCells count="31">
    <mergeCell ref="C15:H15"/>
    <mergeCell ref="A14:A15"/>
    <mergeCell ref="O15:T15"/>
    <mergeCell ref="U15:Z15"/>
    <mergeCell ref="U2:X2"/>
    <mergeCell ref="Y2:Z2"/>
    <mergeCell ref="U5:Z5"/>
    <mergeCell ref="U8:Z8"/>
    <mergeCell ref="U13:Z13"/>
    <mergeCell ref="O13:T13"/>
    <mergeCell ref="O2:R2"/>
    <mergeCell ref="S2:T2"/>
    <mergeCell ref="O5:T5"/>
    <mergeCell ref="O8:T8"/>
    <mergeCell ref="I2:L2"/>
    <mergeCell ref="M2:N2"/>
    <mergeCell ref="A1:H1"/>
    <mergeCell ref="A3:A5"/>
    <mergeCell ref="C2:F2"/>
    <mergeCell ref="G2:H2"/>
    <mergeCell ref="B6:B7"/>
    <mergeCell ref="B3:B4"/>
    <mergeCell ref="A6:A8"/>
    <mergeCell ref="C5:H5"/>
    <mergeCell ref="C8:H8"/>
    <mergeCell ref="A9:A13"/>
    <mergeCell ref="B9:B12"/>
    <mergeCell ref="C13:H13"/>
    <mergeCell ref="I13:N13"/>
    <mergeCell ref="I5:N5"/>
    <mergeCell ref="I8:N8"/>
  </mergeCells>
  <pageMargins left="0.7" right="0.7" top="0.75" bottom="0.75" header="0.3" footer="0.3"/>
  <pageSetup paperSize="9" fitToHeight="0"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0B965-747F-4878-80C1-6982BB16A762}">
  <sheetPr>
    <pageSetUpPr fitToPage="1"/>
  </sheetPr>
  <dimension ref="A1:T18"/>
  <sheetViews>
    <sheetView workbookViewId="0">
      <selection activeCell="S2" sqref="S2:T2"/>
    </sheetView>
  </sheetViews>
  <sheetFormatPr defaultColWidth="11.42578125" defaultRowHeight="15"/>
  <cols>
    <col min="1" max="1" width="28.42578125" style="91" customWidth="1"/>
    <col min="2" max="2" width="14.7109375" style="91" customWidth="1"/>
    <col min="3" max="3" width="15.7109375" style="91" customWidth="1"/>
    <col min="4" max="4" width="45.7109375" style="91" customWidth="1"/>
    <col min="5" max="5" width="5.7109375" style="91" customWidth="1"/>
    <col min="6" max="8" width="10.7109375" style="91" customWidth="1"/>
    <col min="9" max="9" width="15.7109375" style="91" customWidth="1"/>
    <col min="10" max="10" width="45.7109375" style="91" customWidth="1"/>
    <col min="11" max="11" width="5.7109375" style="91" customWidth="1"/>
    <col min="12" max="14" width="10.7109375" style="91" customWidth="1"/>
    <col min="15" max="15" width="15.7109375" style="91" customWidth="1"/>
    <col min="16" max="16" width="45.7109375" style="91" customWidth="1"/>
    <col min="17" max="17" width="5.7109375" style="91" customWidth="1"/>
    <col min="18" max="20" width="10.7109375" style="91" customWidth="1"/>
    <col min="21" max="16384" width="11.42578125" style="91"/>
  </cols>
  <sheetData>
    <row r="1" spans="1:20" ht="26.25">
      <c r="A1" s="469" t="s">
        <v>996</v>
      </c>
      <c r="B1" s="469"/>
      <c r="C1" s="469"/>
      <c r="D1" s="469"/>
      <c r="E1" s="469"/>
      <c r="F1" s="469"/>
      <c r="G1" s="469"/>
      <c r="H1" s="469"/>
      <c r="M1" s="91" t="s">
        <v>946</v>
      </c>
      <c r="N1" s="221">
        <f>G2-M2</f>
        <v>100.73999999999998</v>
      </c>
    </row>
    <row r="2" spans="1:20" ht="23.25">
      <c r="C2" s="487" t="s">
        <v>677</v>
      </c>
      <c r="D2" s="488"/>
      <c r="E2" s="488"/>
      <c r="F2" s="488"/>
      <c r="G2" s="489">
        <f>C5+C10+C16</f>
        <v>293.01</v>
      </c>
      <c r="H2" s="490"/>
      <c r="I2" s="491" t="s">
        <v>678</v>
      </c>
      <c r="J2" s="492"/>
      <c r="K2" s="492"/>
      <c r="L2" s="492"/>
      <c r="M2" s="493">
        <f>I5+I10+I16</f>
        <v>192.27</v>
      </c>
      <c r="N2" s="494"/>
      <c r="O2" s="487" t="s">
        <v>964</v>
      </c>
      <c r="P2" s="488"/>
      <c r="Q2" s="488"/>
      <c r="R2" s="488"/>
      <c r="S2" s="489">
        <f>O5+O10+O16</f>
        <v>246.82</v>
      </c>
      <c r="T2" s="490"/>
    </row>
    <row r="3" spans="1:20">
      <c r="A3" s="496" t="s">
        <v>46</v>
      </c>
      <c r="B3" s="481" t="s">
        <v>756</v>
      </c>
      <c r="C3" s="117">
        <v>86638</v>
      </c>
      <c r="D3" s="112" t="s">
        <v>997</v>
      </c>
      <c r="E3" s="112">
        <v>1</v>
      </c>
      <c r="F3" s="112" t="s">
        <v>966</v>
      </c>
      <c r="G3" s="113">
        <v>30.44</v>
      </c>
      <c r="H3" s="114" t="s">
        <v>759</v>
      </c>
      <c r="I3" s="117" t="s">
        <v>998</v>
      </c>
      <c r="J3" s="112" t="s">
        <v>999</v>
      </c>
      <c r="K3" s="112">
        <v>1</v>
      </c>
      <c r="L3" s="112" t="s">
        <v>966</v>
      </c>
      <c r="M3" s="214">
        <f>28+55.87</f>
        <v>83.87</v>
      </c>
      <c r="N3" s="114" t="s">
        <v>759</v>
      </c>
      <c r="O3" s="117" t="s">
        <v>1000</v>
      </c>
      <c r="P3" s="112" t="s">
        <v>997</v>
      </c>
      <c r="Q3" s="112">
        <v>1</v>
      </c>
      <c r="R3" s="112" t="s">
        <v>966</v>
      </c>
      <c r="S3" s="113">
        <v>85</v>
      </c>
      <c r="T3" s="114" t="s">
        <v>759</v>
      </c>
    </row>
    <row r="4" spans="1:20">
      <c r="A4" s="497"/>
      <c r="B4" s="483"/>
      <c r="C4" s="107">
        <v>86749</v>
      </c>
      <c r="D4" s="91" t="s">
        <v>1001</v>
      </c>
      <c r="E4" s="91">
        <v>1</v>
      </c>
      <c r="F4" s="91" t="s">
        <v>966</v>
      </c>
      <c r="G4" s="135">
        <v>56.43</v>
      </c>
      <c r="H4" s="134" t="s">
        <v>759</v>
      </c>
      <c r="I4" s="107"/>
      <c r="M4" s="125"/>
      <c r="N4" s="134"/>
      <c r="O4" s="107"/>
      <c r="S4" s="135"/>
      <c r="T4" s="134"/>
    </row>
    <row r="5" spans="1:20" ht="19.5" customHeight="1">
      <c r="A5" s="498"/>
      <c r="B5" s="115" t="s">
        <v>683</v>
      </c>
      <c r="C5" s="484">
        <f>SUMPRODUCT(E3:E4,G3:G4)</f>
        <v>86.87</v>
      </c>
      <c r="D5" s="485"/>
      <c r="E5" s="485"/>
      <c r="F5" s="485"/>
      <c r="G5" s="485"/>
      <c r="H5" s="486"/>
      <c r="I5" s="484">
        <f>SUMPRODUCT(K3:K4,M3:M4)</f>
        <v>83.87</v>
      </c>
      <c r="J5" s="485"/>
      <c r="K5" s="485"/>
      <c r="L5" s="485"/>
      <c r="M5" s="485"/>
      <c r="N5" s="486"/>
      <c r="O5" s="484">
        <f>SUMPRODUCT(Q3:Q4,S3:S4)</f>
        <v>85</v>
      </c>
      <c r="P5" s="485"/>
      <c r="Q5" s="485"/>
      <c r="R5" s="485"/>
      <c r="S5" s="485"/>
      <c r="T5" s="486"/>
    </row>
    <row r="6" spans="1:20">
      <c r="A6" s="478" t="s">
        <v>1002</v>
      </c>
      <c r="B6" s="481" t="s">
        <v>756</v>
      </c>
      <c r="C6" s="136">
        <v>86684</v>
      </c>
      <c r="D6" s="120" t="s">
        <v>329</v>
      </c>
      <c r="E6" s="112">
        <v>1</v>
      </c>
      <c r="F6" s="120" t="s">
        <v>966</v>
      </c>
      <c r="G6" s="130">
        <v>9.9700000000000006</v>
      </c>
      <c r="H6" s="131" t="s">
        <v>759</v>
      </c>
      <c r="I6" s="119" t="s">
        <v>1003</v>
      </c>
      <c r="J6" s="120" t="s">
        <v>1004</v>
      </c>
      <c r="K6" s="112">
        <v>1</v>
      </c>
      <c r="L6" s="120" t="s">
        <v>966</v>
      </c>
      <c r="M6" s="133">
        <v>32</v>
      </c>
      <c r="N6" s="131" t="s">
        <v>759</v>
      </c>
      <c r="O6" s="136">
        <v>86684</v>
      </c>
      <c r="P6" s="120" t="s">
        <v>329</v>
      </c>
      <c r="Q6" s="112">
        <v>1</v>
      </c>
      <c r="R6" s="120" t="s">
        <v>966</v>
      </c>
      <c r="S6" s="130">
        <v>9.9700000000000006</v>
      </c>
      <c r="T6" s="131" t="s">
        <v>759</v>
      </c>
    </row>
    <row r="7" spans="1:20">
      <c r="A7" s="479"/>
      <c r="B7" s="482"/>
      <c r="C7" s="118">
        <v>86666</v>
      </c>
      <c r="D7" s="110" t="s">
        <v>1005</v>
      </c>
      <c r="E7" s="110">
        <v>1</v>
      </c>
      <c r="F7" s="110" t="s">
        <v>966</v>
      </c>
      <c r="G7" s="122">
        <v>54.3</v>
      </c>
      <c r="H7" s="126" t="s">
        <v>759</v>
      </c>
      <c r="I7" s="127"/>
      <c r="J7" s="217" t="s">
        <v>813</v>
      </c>
      <c r="K7" s="128">
        <v>1</v>
      </c>
      <c r="L7" s="110" t="s">
        <v>966</v>
      </c>
      <c r="M7" s="218">
        <v>15</v>
      </c>
      <c r="N7" s="126" t="s">
        <v>759</v>
      </c>
      <c r="O7" s="118">
        <v>86666</v>
      </c>
      <c r="P7" s="110" t="s">
        <v>1005</v>
      </c>
      <c r="Q7" s="110">
        <v>1</v>
      </c>
      <c r="R7" s="110" t="s">
        <v>966</v>
      </c>
      <c r="S7" s="122">
        <v>54.3</v>
      </c>
      <c r="T7" s="126" t="s">
        <v>759</v>
      </c>
    </row>
    <row r="8" spans="1:20">
      <c r="A8" s="479"/>
      <c r="B8" s="482"/>
      <c r="C8" s="127">
        <v>100114</v>
      </c>
      <c r="D8" s="128" t="s">
        <v>1006</v>
      </c>
      <c r="E8" s="110">
        <v>1</v>
      </c>
      <c r="F8" s="91" t="s">
        <v>966</v>
      </c>
      <c r="G8" s="125">
        <v>10.16</v>
      </c>
      <c r="H8" s="313" t="s">
        <v>759</v>
      </c>
      <c r="I8" s="127"/>
      <c r="J8" s="128"/>
      <c r="K8" s="128">
        <v>2</v>
      </c>
      <c r="L8" s="110" t="s">
        <v>966</v>
      </c>
      <c r="M8" s="132"/>
      <c r="N8" s="126" t="s">
        <v>759</v>
      </c>
      <c r="O8" s="127">
        <v>100114</v>
      </c>
      <c r="P8" s="128" t="s">
        <v>1006</v>
      </c>
      <c r="Q8" s="110">
        <v>1</v>
      </c>
      <c r="R8" s="91" t="s">
        <v>966</v>
      </c>
      <c r="S8" s="125">
        <v>11.71</v>
      </c>
      <c r="T8" s="313" t="s">
        <v>759</v>
      </c>
    </row>
    <row r="9" spans="1:20">
      <c r="A9" s="479"/>
      <c r="B9" s="483"/>
      <c r="C9" s="138" t="s">
        <v>1007</v>
      </c>
      <c r="D9" s="110" t="s">
        <v>1008</v>
      </c>
      <c r="E9" s="108">
        <v>1</v>
      </c>
      <c r="F9" s="121" t="s">
        <v>966</v>
      </c>
      <c r="G9" s="109">
        <v>8.44</v>
      </c>
      <c r="H9" s="111" t="s">
        <v>759</v>
      </c>
      <c r="I9" s="118"/>
      <c r="J9" s="110"/>
      <c r="K9" s="110">
        <v>4</v>
      </c>
      <c r="L9" s="110" t="s">
        <v>966</v>
      </c>
      <c r="M9" s="122"/>
      <c r="N9" s="126" t="s">
        <v>759</v>
      </c>
      <c r="O9" s="138" t="s">
        <v>1007</v>
      </c>
      <c r="P9" s="110" t="s">
        <v>1008</v>
      </c>
      <c r="Q9" s="108">
        <v>2</v>
      </c>
      <c r="R9" s="121" t="s">
        <v>966</v>
      </c>
      <c r="S9" s="215">
        <v>2</v>
      </c>
      <c r="T9" s="111" t="s">
        <v>759</v>
      </c>
    </row>
    <row r="10" spans="1:20" ht="19.5" customHeight="1">
      <c r="A10" s="480"/>
      <c r="B10" s="115" t="s">
        <v>683</v>
      </c>
      <c r="C10" s="484">
        <f>SUMPRODUCT(E6:E9,G6:G9)</f>
        <v>82.86999999999999</v>
      </c>
      <c r="D10" s="485"/>
      <c r="E10" s="485"/>
      <c r="F10" s="485"/>
      <c r="G10" s="485"/>
      <c r="H10" s="486"/>
      <c r="I10" s="484">
        <f>SUMPRODUCT(K6:K9,M6:M9)</f>
        <v>47</v>
      </c>
      <c r="J10" s="485"/>
      <c r="K10" s="485"/>
      <c r="L10" s="485"/>
      <c r="M10" s="485"/>
      <c r="N10" s="486"/>
      <c r="O10" s="484">
        <f>SUMPRODUCT(Q6:Q9,S6:S9)</f>
        <v>79.97999999999999</v>
      </c>
      <c r="P10" s="485"/>
      <c r="Q10" s="485"/>
      <c r="R10" s="485"/>
      <c r="S10" s="485"/>
      <c r="T10" s="486"/>
    </row>
    <row r="11" spans="1:20">
      <c r="A11" s="478" t="s">
        <v>1009</v>
      </c>
      <c r="B11" s="481" t="s">
        <v>756</v>
      </c>
      <c r="C11" s="136" t="s">
        <v>344</v>
      </c>
      <c r="D11" s="120" t="s">
        <v>345</v>
      </c>
      <c r="E11" s="112">
        <v>1</v>
      </c>
      <c r="F11" s="120" t="s">
        <v>966</v>
      </c>
      <c r="G11" s="130">
        <v>6.87</v>
      </c>
      <c r="H11" s="131" t="s">
        <v>759</v>
      </c>
      <c r="I11" s="119" t="s">
        <v>1010</v>
      </c>
      <c r="J11" s="120" t="s">
        <v>1011</v>
      </c>
      <c r="K11" s="112">
        <v>1</v>
      </c>
      <c r="L11" s="120" t="s">
        <v>966</v>
      </c>
      <c r="M11" s="133">
        <v>29</v>
      </c>
      <c r="N11" s="131" t="s">
        <v>759</v>
      </c>
      <c r="O11" s="136" t="s">
        <v>344</v>
      </c>
      <c r="P11" s="120" t="s">
        <v>345</v>
      </c>
      <c r="Q11" s="112">
        <v>1</v>
      </c>
      <c r="R11" s="120" t="s">
        <v>966</v>
      </c>
      <c r="S11" s="130">
        <v>6.87</v>
      </c>
      <c r="T11" s="131" t="s">
        <v>759</v>
      </c>
    </row>
    <row r="12" spans="1:20">
      <c r="A12" s="479"/>
      <c r="B12" s="482"/>
      <c r="C12" s="139" t="s">
        <v>346</v>
      </c>
      <c r="D12" s="140" t="s">
        <v>347</v>
      </c>
      <c r="E12" s="141">
        <v>1</v>
      </c>
      <c r="F12" s="121" t="s">
        <v>966</v>
      </c>
      <c r="G12" s="129">
        <v>3.96</v>
      </c>
      <c r="H12" s="134" t="s">
        <v>759</v>
      </c>
      <c r="I12" s="127" t="s">
        <v>1012</v>
      </c>
      <c r="J12" s="128" t="s">
        <v>1013</v>
      </c>
      <c r="K12" s="141">
        <v>1</v>
      </c>
      <c r="L12" s="121" t="s">
        <v>966</v>
      </c>
      <c r="M12" s="213">
        <v>17.399999999999999</v>
      </c>
      <c r="N12" s="134" t="s">
        <v>759</v>
      </c>
      <c r="O12" s="139" t="s">
        <v>346</v>
      </c>
      <c r="P12" s="140" t="s">
        <v>347</v>
      </c>
      <c r="Q12" s="141">
        <v>1</v>
      </c>
      <c r="R12" s="121" t="s">
        <v>966</v>
      </c>
      <c r="S12" s="129">
        <v>3.96</v>
      </c>
      <c r="T12" s="134" t="s">
        <v>759</v>
      </c>
    </row>
    <row r="13" spans="1:20">
      <c r="A13" s="479"/>
      <c r="B13" s="482"/>
      <c r="C13" s="137" t="s">
        <v>147</v>
      </c>
      <c r="D13" s="110" t="s">
        <v>1005</v>
      </c>
      <c r="E13" s="128">
        <v>1</v>
      </c>
      <c r="F13" s="121" t="s">
        <v>966</v>
      </c>
      <c r="G13" s="129">
        <v>54.3</v>
      </c>
      <c r="H13" s="134" t="s">
        <v>759</v>
      </c>
      <c r="I13" s="127"/>
      <c r="J13" s="216" t="s">
        <v>813</v>
      </c>
      <c r="K13" s="128">
        <v>1</v>
      </c>
      <c r="L13" s="121" t="s">
        <v>966</v>
      </c>
      <c r="M13" s="218">
        <v>15</v>
      </c>
      <c r="N13" s="134" t="s">
        <v>759</v>
      </c>
      <c r="O13" s="137" t="s">
        <v>147</v>
      </c>
      <c r="P13" s="110" t="s">
        <v>1005</v>
      </c>
      <c r="Q13" s="128">
        <v>1</v>
      </c>
      <c r="R13" s="121" t="s">
        <v>966</v>
      </c>
      <c r="S13" s="129">
        <v>54.3</v>
      </c>
      <c r="T13" s="134" t="s">
        <v>759</v>
      </c>
    </row>
    <row r="14" spans="1:20">
      <c r="A14" s="479"/>
      <c r="B14" s="482"/>
      <c r="C14" s="137" t="s">
        <v>1014</v>
      </c>
      <c r="D14" s="128" t="s">
        <v>1015</v>
      </c>
      <c r="E14" s="128">
        <v>1</v>
      </c>
      <c r="F14" s="110" t="s">
        <v>966</v>
      </c>
      <c r="G14" s="129">
        <v>25.69</v>
      </c>
      <c r="H14" s="126" t="s">
        <v>759</v>
      </c>
      <c r="I14" s="127"/>
      <c r="J14" s="128"/>
      <c r="K14" s="128"/>
      <c r="L14" s="110" t="s">
        <v>966</v>
      </c>
      <c r="M14" s="132"/>
      <c r="N14" s="126" t="s">
        <v>759</v>
      </c>
      <c r="O14" s="137" t="s">
        <v>1016</v>
      </c>
      <c r="P14" s="128" t="s">
        <v>1017</v>
      </c>
      <c r="Q14" s="128">
        <v>1</v>
      </c>
      <c r="R14" s="110" t="s">
        <v>966</v>
      </c>
      <c r="S14" s="312">
        <v>5</v>
      </c>
      <c r="T14" s="126" t="s">
        <v>759</v>
      </c>
    </row>
    <row r="15" spans="1:20">
      <c r="A15" s="479"/>
      <c r="B15" s="483"/>
      <c r="C15" s="138" t="s">
        <v>1018</v>
      </c>
      <c r="D15" s="91" t="s">
        <v>1019</v>
      </c>
      <c r="E15" s="110">
        <v>1</v>
      </c>
      <c r="F15" s="110" t="s">
        <v>966</v>
      </c>
      <c r="G15" s="122">
        <v>32.450000000000003</v>
      </c>
      <c r="H15" s="126" t="s">
        <v>759</v>
      </c>
      <c r="I15" s="118"/>
      <c r="J15" s="110"/>
      <c r="K15" s="110"/>
      <c r="L15" s="110" t="s">
        <v>966</v>
      </c>
      <c r="M15" s="122"/>
      <c r="N15" s="126" t="s">
        <v>759</v>
      </c>
      <c r="O15" s="138" t="s">
        <v>1018</v>
      </c>
      <c r="P15" s="91" t="s">
        <v>1019</v>
      </c>
      <c r="Q15" s="110">
        <v>1</v>
      </c>
      <c r="R15" s="110" t="s">
        <v>966</v>
      </c>
      <c r="S15" s="122">
        <v>11.71</v>
      </c>
      <c r="T15" s="126" t="s">
        <v>759</v>
      </c>
    </row>
    <row r="16" spans="1:20" ht="19.5" customHeight="1">
      <c r="A16" s="480"/>
      <c r="B16" s="115" t="s">
        <v>683</v>
      </c>
      <c r="C16" s="484">
        <f>SUMPRODUCT(E11:E15,G11:G15)</f>
        <v>123.27</v>
      </c>
      <c r="D16" s="485"/>
      <c r="E16" s="485"/>
      <c r="F16" s="485"/>
      <c r="G16" s="485"/>
      <c r="H16" s="486"/>
      <c r="I16" s="484">
        <f>SUMPRODUCT(K11:K15,M11:M15)</f>
        <v>61.4</v>
      </c>
      <c r="J16" s="485"/>
      <c r="K16" s="485"/>
      <c r="L16" s="485"/>
      <c r="M16" s="485"/>
      <c r="N16" s="486"/>
      <c r="O16" s="484">
        <f>SUMPRODUCT(Q11:Q15,S11:S15)</f>
        <v>81.84</v>
      </c>
      <c r="P16" s="485"/>
      <c r="Q16" s="485"/>
      <c r="R16" s="495"/>
      <c r="S16" s="495"/>
      <c r="T16" s="486"/>
    </row>
    <row r="18" spans="16:16">
      <c r="P18" s="91" t="s">
        <v>1020</v>
      </c>
    </row>
  </sheetData>
  <mergeCells count="22">
    <mergeCell ref="O16:T16"/>
    <mergeCell ref="O2:R2"/>
    <mergeCell ref="S2:T2"/>
    <mergeCell ref="O5:T5"/>
    <mergeCell ref="O10:T10"/>
    <mergeCell ref="A11:A16"/>
    <mergeCell ref="B11:B15"/>
    <mergeCell ref="C16:H16"/>
    <mergeCell ref="I16:N16"/>
    <mergeCell ref="A6:A10"/>
    <mergeCell ref="B6:B9"/>
    <mergeCell ref="C10:H10"/>
    <mergeCell ref="I10:N10"/>
    <mergeCell ref="A1:H1"/>
    <mergeCell ref="A3:A5"/>
    <mergeCell ref="B3:B4"/>
    <mergeCell ref="C5:H5"/>
    <mergeCell ref="I5:N5"/>
    <mergeCell ref="C2:F2"/>
    <mergeCell ref="G2:H2"/>
    <mergeCell ref="I2:L2"/>
    <mergeCell ref="M2:N2"/>
  </mergeCells>
  <pageMargins left="0.7" right="0.7" top="0.75" bottom="0.75" header="0.3" footer="0.3"/>
  <pageSetup paperSize="9" fitToHeight="0"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82373-2C19-4D4F-8CC9-AC8AFE72DD0B}">
  <sheetPr>
    <pageSetUpPr fitToPage="1"/>
  </sheetPr>
  <dimension ref="A1:Y17"/>
  <sheetViews>
    <sheetView workbookViewId="0">
      <pane xSplit="1" topLeftCell="B1" activePane="topRight" state="frozen"/>
      <selection pane="topRight" activeCell="K1" sqref="K1"/>
    </sheetView>
  </sheetViews>
  <sheetFormatPr defaultColWidth="8.85546875" defaultRowHeight="15"/>
  <cols>
    <col min="1" max="1" width="24.7109375" customWidth="1"/>
    <col min="2" max="2" width="10.28515625" customWidth="1"/>
    <col min="3" max="3" width="16.42578125" customWidth="1"/>
    <col min="4" max="4" width="17" customWidth="1"/>
    <col min="5" max="5" width="10.28515625" customWidth="1"/>
    <col min="6" max="6" width="15.7109375" customWidth="1"/>
    <col min="7" max="8" width="10.28515625" customWidth="1"/>
    <col min="9" max="9" width="21" style="6" customWidth="1"/>
    <col min="10" max="10" width="10.28515625" customWidth="1"/>
    <col min="11" max="11" width="12.28515625" customWidth="1"/>
    <col min="12" max="12" width="17.42578125" customWidth="1"/>
    <col min="13" max="13" width="10.28515625" customWidth="1"/>
    <col min="14" max="14" width="16" customWidth="1"/>
    <col min="15" max="16" width="10.28515625" customWidth="1"/>
    <col min="17" max="17" width="21" style="6" customWidth="1"/>
    <col min="18" max="18" width="10.28515625" customWidth="1"/>
    <col min="19" max="19" width="11.7109375" customWidth="1"/>
    <col min="20" max="20" width="14" customWidth="1"/>
    <col min="21" max="21" width="10.28515625" customWidth="1"/>
    <col min="22" max="22" width="17.42578125" customWidth="1"/>
    <col min="23" max="24" width="10.28515625" customWidth="1"/>
    <col min="25" max="25" width="21" style="6" customWidth="1"/>
  </cols>
  <sheetData>
    <row r="1" spans="1:25" ht="26.25">
      <c r="A1" s="518" t="s">
        <v>1021</v>
      </c>
      <c r="B1" s="518"/>
      <c r="C1" s="518"/>
      <c r="D1" s="518"/>
      <c r="E1" s="518"/>
      <c r="F1" s="518"/>
      <c r="G1" s="518"/>
      <c r="H1" s="518"/>
      <c r="I1" s="518"/>
      <c r="J1" s="518"/>
      <c r="K1" s="518"/>
      <c r="L1" s="518"/>
      <c r="M1" s="518"/>
      <c r="N1" s="518"/>
      <c r="O1" s="518"/>
      <c r="P1" s="518"/>
      <c r="Q1" s="518"/>
      <c r="R1" s="518"/>
      <c r="S1" s="518"/>
      <c r="T1" s="518"/>
      <c r="U1" s="518"/>
      <c r="V1" s="518"/>
      <c r="W1" s="518"/>
      <c r="X1" s="518"/>
      <c r="Y1" s="518"/>
    </row>
    <row r="2" spans="1:25">
      <c r="B2" s="513" t="s">
        <v>1022</v>
      </c>
      <c r="C2" s="514"/>
      <c r="D2" s="514"/>
      <c r="E2" s="514"/>
      <c r="F2" s="514"/>
      <c r="G2" s="514"/>
      <c r="H2" s="514"/>
      <c r="I2" s="515"/>
      <c r="J2" s="513" t="s">
        <v>1023</v>
      </c>
      <c r="K2" s="514"/>
      <c r="L2" s="514"/>
      <c r="M2" s="514"/>
      <c r="N2" s="514"/>
      <c r="O2" s="514"/>
      <c r="P2" s="514"/>
      <c r="Q2" s="516"/>
      <c r="R2" s="517" t="s">
        <v>1024</v>
      </c>
      <c r="S2" s="514"/>
      <c r="T2" s="514"/>
      <c r="U2" s="514"/>
      <c r="V2" s="514"/>
      <c r="W2" s="514"/>
      <c r="X2" s="514"/>
      <c r="Y2" s="516"/>
    </row>
    <row r="3" spans="1:25" s="45" customFormat="1">
      <c r="B3" s="52" t="s">
        <v>1025</v>
      </c>
      <c r="C3" s="53" t="s">
        <v>1026</v>
      </c>
      <c r="D3" s="53" t="s">
        <v>1027</v>
      </c>
      <c r="E3" s="53" t="s">
        <v>1028</v>
      </c>
      <c r="F3" s="53" t="s">
        <v>1029</v>
      </c>
      <c r="G3" s="53" t="s">
        <v>1030</v>
      </c>
      <c r="H3" s="53" t="s">
        <v>1031</v>
      </c>
      <c r="I3" s="72" t="s">
        <v>1032</v>
      </c>
      <c r="J3" s="52" t="s">
        <v>1025</v>
      </c>
      <c r="K3" s="53" t="s">
        <v>1026</v>
      </c>
      <c r="L3" s="53" t="s">
        <v>1027</v>
      </c>
      <c r="M3" s="53" t="s">
        <v>1028</v>
      </c>
      <c r="N3" s="53" t="s">
        <v>1033</v>
      </c>
      <c r="O3" s="53" t="s">
        <v>1030</v>
      </c>
      <c r="P3" s="53" t="s">
        <v>1031</v>
      </c>
      <c r="Q3" s="76" t="s">
        <v>1032</v>
      </c>
      <c r="R3" s="54" t="s">
        <v>1025</v>
      </c>
      <c r="S3" s="53" t="s">
        <v>1026</v>
      </c>
      <c r="T3" s="53" t="s">
        <v>1027</v>
      </c>
      <c r="U3" s="53" t="s">
        <v>1028</v>
      </c>
      <c r="V3" s="53" t="s">
        <v>1033</v>
      </c>
      <c r="W3" s="53" t="s">
        <v>1030</v>
      </c>
      <c r="X3" s="53" t="s">
        <v>1031</v>
      </c>
      <c r="Y3" s="76" t="s">
        <v>1032</v>
      </c>
    </row>
    <row r="4" spans="1:25" ht="45">
      <c r="A4" s="49" t="s">
        <v>1034</v>
      </c>
      <c r="B4" s="66" t="s">
        <v>1035</v>
      </c>
      <c r="C4" s="56" t="s">
        <v>1036</v>
      </c>
      <c r="D4" s="67" t="s">
        <v>1037</v>
      </c>
      <c r="E4" s="56"/>
      <c r="F4" s="68" t="s">
        <v>1038</v>
      </c>
      <c r="G4" s="56"/>
      <c r="H4" s="56" t="s">
        <v>1039</v>
      </c>
      <c r="I4" s="73"/>
      <c r="J4" s="66" t="s">
        <v>1040</v>
      </c>
      <c r="K4" s="56" t="s">
        <v>1041</v>
      </c>
      <c r="L4" s="56" t="s">
        <v>1037</v>
      </c>
      <c r="M4" s="56"/>
      <c r="N4" s="68" t="s">
        <v>1042</v>
      </c>
      <c r="O4" s="56"/>
      <c r="P4" s="56">
        <v>4</v>
      </c>
      <c r="Q4" s="77"/>
      <c r="R4" s="57" t="s">
        <v>1043</v>
      </c>
      <c r="S4" s="56" t="s">
        <v>1041</v>
      </c>
      <c r="T4" s="56" t="s">
        <v>1037</v>
      </c>
      <c r="U4" s="56"/>
      <c r="V4" s="68" t="s">
        <v>1044</v>
      </c>
      <c r="W4" s="56"/>
      <c r="X4" s="56">
        <v>4</v>
      </c>
      <c r="Y4" s="77"/>
    </row>
    <row r="5" spans="1:25" ht="30">
      <c r="A5" s="55" t="s">
        <v>1045</v>
      </c>
      <c r="B5" s="58" t="s">
        <v>1046</v>
      </c>
      <c r="C5" s="69" t="s">
        <v>1047</v>
      </c>
      <c r="D5" s="63" t="s">
        <v>1048</v>
      </c>
      <c r="E5" s="60"/>
      <c r="F5" s="59" t="s">
        <v>1049</v>
      </c>
      <c r="G5" s="59" t="s">
        <v>1050</v>
      </c>
      <c r="H5" s="59"/>
      <c r="I5" s="74"/>
      <c r="J5" s="58" t="s">
        <v>1051</v>
      </c>
      <c r="K5" s="59" t="s">
        <v>1052</v>
      </c>
      <c r="L5" s="59" t="s">
        <v>1053</v>
      </c>
      <c r="M5" s="59"/>
      <c r="N5" s="59" t="s">
        <v>1054</v>
      </c>
      <c r="O5" s="59"/>
      <c r="P5" s="59"/>
      <c r="Q5" s="78"/>
      <c r="R5" s="60" t="s">
        <v>1055</v>
      </c>
      <c r="S5" s="59" t="s">
        <v>1041</v>
      </c>
      <c r="T5" s="63" t="s">
        <v>1048</v>
      </c>
      <c r="U5" s="59"/>
      <c r="V5" s="59" t="s">
        <v>1056</v>
      </c>
      <c r="W5" s="59"/>
      <c r="X5" s="59"/>
      <c r="Y5" s="78"/>
    </row>
    <row r="6" spans="1:25" ht="30">
      <c r="A6" s="50" t="s">
        <v>1057</v>
      </c>
      <c r="B6" s="58" t="s">
        <v>1058</v>
      </c>
      <c r="C6" s="69" t="s">
        <v>1059</v>
      </c>
      <c r="D6" s="63" t="s">
        <v>1060</v>
      </c>
      <c r="E6" s="60"/>
      <c r="F6" s="59"/>
      <c r="G6" s="59" t="s">
        <v>1050</v>
      </c>
      <c r="H6" s="59"/>
      <c r="I6" s="74"/>
      <c r="J6" s="58" t="s">
        <v>1061</v>
      </c>
      <c r="K6" s="59" t="s">
        <v>1052</v>
      </c>
      <c r="L6" s="59" t="s">
        <v>1053</v>
      </c>
      <c r="M6" s="59"/>
      <c r="N6" s="59"/>
      <c r="O6" s="59"/>
      <c r="P6" s="59"/>
      <c r="Q6" s="78"/>
      <c r="R6" s="60" t="s">
        <v>1062</v>
      </c>
      <c r="S6" s="59" t="s">
        <v>1063</v>
      </c>
      <c r="T6" s="59" t="s">
        <v>1064</v>
      </c>
      <c r="U6" s="59"/>
      <c r="V6" s="59"/>
      <c r="W6" s="59"/>
      <c r="X6" s="59"/>
      <c r="Y6" s="78"/>
    </row>
    <row r="7" spans="1:25" ht="18.75">
      <c r="A7" s="50" t="s">
        <v>1065</v>
      </c>
      <c r="B7" s="58" t="s">
        <v>1046</v>
      </c>
      <c r="C7" s="69" t="s">
        <v>1047</v>
      </c>
      <c r="D7" s="63" t="s">
        <v>1048</v>
      </c>
      <c r="E7" s="60"/>
      <c r="F7" s="59" t="s">
        <v>1066</v>
      </c>
      <c r="G7" s="59"/>
      <c r="H7" s="59"/>
      <c r="I7" s="74"/>
      <c r="J7" s="58" t="s">
        <v>1061</v>
      </c>
      <c r="K7" s="59" t="s">
        <v>1063</v>
      </c>
      <c r="L7" s="59" t="s">
        <v>1053</v>
      </c>
      <c r="M7" s="59"/>
      <c r="N7" s="59" t="s">
        <v>1067</v>
      </c>
      <c r="O7" s="59"/>
      <c r="P7" s="59"/>
      <c r="Q7" s="78"/>
      <c r="R7" s="60" t="s">
        <v>1062</v>
      </c>
      <c r="S7" s="59" t="s">
        <v>1063</v>
      </c>
      <c r="T7" s="59" t="s">
        <v>1064</v>
      </c>
      <c r="U7" s="59"/>
      <c r="V7" s="59" t="s">
        <v>1067</v>
      </c>
      <c r="W7" s="59"/>
      <c r="X7" s="59"/>
      <c r="Y7" s="78"/>
    </row>
    <row r="8" spans="1:25" ht="34.5" customHeight="1">
      <c r="A8" s="55" t="s">
        <v>1068</v>
      </c>
      <c r="B8" s="61" t="s">
        <v>1069</v>
      </c>
      <c r="C8" s="62" t="s">
        <v>1070</v>
      </c>
      <c r="D8" s="59" t="s">
        <v>1064</v>
      </c>
      <c r="E8" s="65"/>
      <c r="F8" s="65"/>
      <c r="G8" s="65"/>
      <c r="H8" s="65"/>
      <c r="I8" s="71"/>
      <c r="J8" s="61" t="s">
        <v>1071</v>
      </c>
      <c r="K8" s="63" t="s">
        <v>1072</v>
      </c>
      <c r="L8" s="65" t="s">
        <v>1037</v>
      </c>
      <c r="M8" s="65"/>
      <c r="N8" s="65"/>
      <c r="O8" s="65"/>
      <c r="P8" s="65"/>
      <c r="Q8" s="79" t="s">
        <v>1073</v>
      </c>
      <c r="R8" s="64" t="s">
        <v>1055</v>
      </c>
      <c r="S8" s="63" t="s">
        <v>1072</v>
      </c>
      <c r="T8" s="65" t="s">
        <v>1064</v>
      </c>
      <c r="U8" s="65"/>
      <c r="V8" s="65"/>
      <c r="W8" s="65"/>
      <c r="X8" s="65"/>
      <c r="Y8" s="79"/>
    </row>
    <row r="9" spans="1:25" ht="45">
      <c r="A9" s="50" t="s">
        <v>680</v>
      </c>
      <c r="B9" s="61" t="s">
        <v>1074</v>
      </c>
      <c r="C9" s="59" t="s">
        <v>1059</v>
      </c>
      <c r="D9" s="65" t="s">
        <v>1037</v>
      </c>
      <c r="E9" s="65" t="s">
        <v>1075</v>
      </c>
      <c r="F9" s="63" t="s">
        <v>1076</v>
      </c>
      <c r="G9" s="65" t="s">
        <v>1077</v>
      </c>
      <c r="H9" s="65">
        <v>14</v>
      </c>
      <c r="I9" s="71" t="s">
        <v>1078</v>
      </c>
      <c r="J9" s="61" t="s">
        <v>1079</v>
      </c>
      <c r="K9" s="65" t="s">
        <v>1052</v>
      </c>
      <c r="L9" s="65" t="s">
        <v>1037</v>
      </c>
      <c r="M9" s="65" t="s">
        <v>1080</v>
      </c>
      <c r="N9" s="63" t="s">
        <v>1081</v>
      </c>
      <c r="O9" s="65"/>
      <c r="P9" s="65"/>
      <c r="Q9" s="79" t="s">
        <v>1082</v>
      </c>
      <c r="R9" s="64" t="s">
        <v>1083</v>
      </c>
      <c r="S9" s="65" t="s">
        <v>1052</v>
      </c>
      <c r="T9" s="65" t="s">
        <v>1037</v>
      </c>
      <c r="U9" s="65" t="s">
        <v>1084</v>
      </c>
      <c r="V9" s="63" t="s">
        <v>1085</v>
      </c>
      <c r="W9" s="65"/>
      <c r="X9" s="65"/>
      <c r="Y9" s="79" t="s">
        <v>1086</v>
      </c>
    </row>
    <row r="10" spans="1:25" ht="30" customHeight="1">
      <c r="A10" s="50" t="s">
        <v>687</v>
      </c>
      <c r="B10" s="61" t="s">
        <v>665</v>
      </c>
      <c r="C10" s="65" t="s">
        <v>1087</v>
      </c>
      <c r="D10" s="65" t="s">
        <v>1037</v>
      </c>
      <c r="E10" s="65"/>
      <c r="F10" s="65"/>
      <c r="G10" s="65"/>
      <c r="H10" s="65"/>
      <c r="I10" s="71" t="s">
        <v>1088</v>
      </c>
      <c r="J10" s="61"/>
      <c r="K10" s="63" t="s">
        <v>1063</v>
      </c>
      <c r="L10" s="63" t="s">
        <v>1089</v>
      </c>
      <c r="M10" s="65"/>
      <c r="N10" s="65"/>
      <c r="O10" s="65"/>
      <c r="P10" s="65"/>
      <c r="Q10" s="79"/>
      <c r="R10" s="64"/>
      <c r="S10" s="63" t="s">
        <v>1063</v>
      </c>
      <c r="T10" s="63" t="s">
        <v>1089</v>
      </c>
      <c r="U10" s="65"/>
      <c r="V10" s="65"/>
      <c r="W10" s="65"/>
      <c r="X10" s="65"/>
      <c r="Y10" s="79"/>
    </row>
    <row r="11" spans="1:25" ht="18.75">
      <c r="A11" s="50" t="s">
        <v>1090</v>
      </c>
      <c r="B11" s="61" t="s">
        <v>1091</v>
      </c>
      <c r="C11" s="65" t="s">
        <v>1059</v>
      </c>
      <c r="D11" s="65" t="s">
        <v>1037</v>
      </c>
      <c r="E11" s="65" t="s">
        <v>1092</v>
      </c>
      <c r="F11" s="65" t="s">
        <v>1093</v>
      </c>
      <c r="G11" s="65" t="s">
        <v>1094</v>
      </c>
      <c r="H11" s="65"/>
      <c r="I11" s="71"/>
      <c r="J11" s="61" t="s">
        <v>1095</v>
      </c>
      <c r="K11" s="65" t="s">
        <v>1052</v>
      </c>
      <c r="L11" s="65"/>
      <c r="M11" s="65" t="s">
        <v>1096</v>
      </c>
      <c r="N11" s="63" t="s">
        <v>1097</v>
      </c>
      <c r="O11" s="65"/>
      <c r="P11" s="65"/>
      <c r="Q11" s="79"/>
      <c r="R11" s="64" t="s">
        <v>1055</v>
      </c>
      <c r="S11" s="65" t="s">
        <v>1052</v>
      </c>
      <c r="T11" s="65"/>
      <c r="U11" s="65" t="s">
        <v>1096</v>
      </c>
      <c r="V11" s="65" t="s">
        <v>1097</v>
      </c>
      <c r="W11" s="65"/>
      <c r="X11" s="65"/>
      <c r="Y11" s="79"/>
    </row>
    <row r="12" spans="1:25" ht="18.75">
      <c r="A12" s="51" t="s">
        <v>1098</v>
      </c>
      <c r="B12" s="46"/>
      <c r="C12" s="81" t="s">
        <v>1099</v>
      </c>
      <c r="D12" s="47"/>
      <c r="E12" s="47"/>
      <c r="F12" s="47"/>
      <c r="G12" s="47"/>
      <c r="H12" s="47"/>
      <c r="I12" s="75"/>
      <c r="J12" s="46"/>
      <c r="K12" s="81" t="s">
        <v>1100</v>
      </c>
      <c r="L12" s="47"/>
      <c r="M12" s="47"/>
      <c r="N12" s="47"/>
      <c r="O12" s="47"/>
      <c r="P12" s="47"/>
      <c r="Q12" s="80"/>
      <c r="R12" s="48"/>
      <c r="S12" s="81" t="s">
        <v>1100</v>
      </c>
      <c r="T12" s="47"/>
      <c r="U12" s="47"/>
      <c r="V12" s="47"/>
      <c r="W12" s="47"/>
      <c r="X12" s="47"/>
      <c r="Y12" s="80"/>
    </row>
    <row r="17" spans="6:6">
      <c r="F17" s="70"/>
    </row>
  </sheetData>
  <mergeCells count="4">
    <mergeCell ref="B2:I2"/>
    <mergeCell ref="J2:Q2"/>
    <mergeCell ref="R2:Y2"/>
    <mergeCell ref="A1:Y1"/>
  </mergeCells>
  <pageMargins left="0.25" right="0.25" top="0.75" bottom="0.75" header="0.3" footer="0.3"/>
  <pageSetup paperSize="8" fitToHeight="0"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8B38-ADA5-4B01-90E1-D42DA0EAB5C0}">
  <dimension ref="A1:K76"/>
  <sheetViews>
    <sheetView zoomScale="130" zoomScaleNormal="130" workbookViewId="0">
      <selection activeCell="E62" sqref="E62"/>
    </sheetView>
  </sheetViews>
  <sheetFormatPr defaultColWidth="9.140625" defaultRowHeight="15"/>
  <cols>
    <col min="1" max="1" width="36.5703125" bestFit="1" customWidth="1"/>
    <col min="2" max="2" width="13.42578125" customWidth="1"/>
    <col min="3" max="3" width="8.140625" customWidth="1"/>
    <col min="5" max="5" width="98.85546875" bestFit="1" customWidth="1"/>
    <col min="9" max="11" width="17.5703125" bestFit="1" customWidth="1"/>
  </cols>
  <sheetData>
    <row r="1" spans="1:7">
      <c r="A1" s="82" t="s">
        <v>1101</v>
      </c>
      <c r="B1" s="6"/>
    </row>
    <row r="2" spans="1:7">
      <c r="A2" s="84" t="s">
        <v>1102</v>
      </c>
      <c r="B2" s="6"/>
      <c r="C2" t="s">
        <v>1103</v>
      </c>
      <c r="D2" t="s">
        <v>1104</v>
      </c>
      <c r="E2" t="s">
        <v>1105</v>
      </c>
      <c r="F2" t="s">
        <v>1106</v>
      </c>
    </row>
    <row r="3" spans="1:7" ht="30">
      <c r="A3" s="82" t="s">
        <v>1107</v>
      </c>
      <c r="B3" s="6" t="s">
        <v>1108</v>
      </c>
      <c r="C3">
        <v>5</v>
      </c>
      <c r="D3" t="s">
        <v>1053</v>
      </c>
    </row>
    <row r="4" spans="1:7" ht="30">
      <c r="A4" s="82" t="s">
        <v>1109</v>
      </c>
      <c r="B4" s="6"/>
      <c r="C4">
        <v>1</v>
      </c>
      <c r="D4" t="s">
        <v>1053</v>
      </c>
      <c r="E4" s="85" t="s">
        <v>1110</v>
      </c>
      <c r="F4" t="s">
        <v>1111</v>
      </c>
    </row>
    <row r="5" spans="1:7" ht="90">
      <c r="A5" s="82" t="s">
        <v>1112</v>
      </c>
      <c r="B5" s="6" t="s">
        <v>1113</v>
      </c>
      <c r="C5">
        <v>1</v>
      </c>
      <c r="D5" s="203">
        <v>3</v>
      </c>
      <c r="E5" s="104" t="s">
        <v>1114</v>
      </c>
      <c r="F5" s="103" t="s">
        <v>1115</v>
      </c>
    </row>
    <row r="6" spans="1:7" ht="60">
      <c r="A6" s="82" t="s">
        <v>1116</v>
      </c>
      <c r="B6" s="6" t="s">
        <v>1113</v>
      </c>
      <c r="C6">
        <v>1</v>
      </c>
      <c r="D6" s="203">
        <v>3</v>
      </c>
      <c r="E6" s="104" t="s">
        <v>1117</v>
      </c>
      <c r="F6" s="103" t="s">
        <v>1115</v>
      </c>
    </row>
    <row r="7" spans="1:7">
      <c r="A7" s="82"/>
      <c r="B7" s="6"/>
    </row>
    <row r="8" spans="1:7">
      <c r="A8" s="105" t="s">
        <v>1118</v>
      </c>
      <c r="B8" s="6"/>
    </row>
    <row r="9" spans="1:7" ht="60">
      <c r="A9" s="82" t="s">
        <v>1119</v>
      </c>
      <c r="B9" s="6" t="s">
        <v>1110</v>
      </c>
      <c r="C9">
        <v>1</v>
      </c>
      <c r="D9" t="s">
        <v>1053</v>
      </c>
      <c r="E9" s="103" t="s">
        <v>1120</v>
      </c>
      <c r="F9" s="103" t="s">
        <v>1115</v>
      </c>
      <c r="G9" t="s">
        <v>1121</v>
      </c>
    </row>
    <row r="10" spans="1:7" ht="30">
      <c r="A10" s="82" t="s">
        <v>1122</v>
      </c>
      <c r="B10" s="6"/>
    </row>
    <row r="11" spans="1:7" ht="30">
      <c r="A11" s="82" t="s">
        <v>1123</v>
      </c>
      <c r="B11" s="6"/>
    </row>
    <row r="12" spans="1:7">
      <c r="A12" s="82" t="s">
        <v>1124</v>
      </c>
      <c r="B12" s="6"/>
    </row>
    <row r="13" spans="1:7" ht="45">
      <c r="A13" s="82" t="s">
        <v>1125</v>
      </c>
      <c r="B13" s="6"/>
    </row>
    <row r="14" spans="1:7">
      <c r="A14" s="82" t="s">
        <v>1101</v>
      </c>
      <c r="B14" s="6"/>
    </row>
    <row r="15" spans="1:7">
      <c r="A15" s="82" t="s">
        <v>1126</v>
      </c>
      <c r="B15" s="6"/>
      <c r="C15">
        <v>1</v>
      </c>
      <c r="D15">
        <v>1</v>
      </c>
      <c r="E15" s="104" t="s">
        <v>1127</v>
      </c>
      <c r="F15" s="103" t="s">
        <v>1115</v>
      </c>
      <c r="G15" t="s">
        <v>1121</v>
      </c>
    </row>
    <row r="16" spans="1:7" ht="90">
      <c r="A16" s="82" t="s">
        <v>1128</v>
      </c>
      <c r="B16" s="6"/>
    </row>
    <row r="17" spans="1:6" ht="90">
      <c r="A17" s="82" t="s">
        <v>1112</v>
      </c>
      <c r="B17" s="6"/>
      <c r="E17" s="86"/>
    </row>
    <row r="18" spans="1:6" ht="60">
      <c r="A18" s="82" t="s">
        <v>1116</v>
      </c>
      <c r="B18" s="6"/>
      <c r="E18" s="86"/>
    </row>
    <row r="19" spans="1:6">
      <c r="A19" s="82" t="s">
        <v>1101</v>
      </c>
      <c r="B19" s="6"/>
    </row>
    <row r="20" spans="1:6">
      <c r="A20" s="82" t="s">
        <v>1101</v>
      </c>
      <c r="B20" s="6"/>
    </row>
    <row r="21" spans="1:6">
      <c r="A21" s="105" t="s">
        <v>1129</v>
      </c>
      <c r="B21" s="6"/>
    </row>
    <row r="22" spans="1:6">
      <c r="A22" s="82" t="s">
        <v>1130</v>
      </c>
      <c r="B22" s="6"/>
    </row>
    <row r="23" spans="1:6" ht="45">
      <c r="A23" s="6"/>
      <c r="B23" s="82" t="s">
        <v>1131</v>
      </c>
      <c r="E23" s="104" t="s">
        <v>1132</v>
      </c>
      <c r="F23" s="103" t="s">
        <v>1115</v>
      </c>
    </row>
    <row r="24" spans="1:6" ht="60">
      <c r="A24" s="6"/>
      <c r="B24" s="82" t="s">
        <v>1133</v>
      </c>
      <c r="E24" s="104" t="s">
        <v>1132</v>
      </c>
      <c r="F24" s="103" t="s">
        <v>1115</v>
      </c>
    </row>
    <row r="25" spans="1:6" ht="75">
      <c r="A25" s="82" t="s">
        <v>1134</v>
      </c>
      <c r="B25" s="6"/>
    </row>
    <row r="26" spans="1:6">
      <c r="A26" s="82"/>
      <c r="B26" s="6"/>
    </row>
    <row r="27" spans="1:6">
      <c r="A27" s="82" t="s">
        <v>1101</v>
      </c>
      <c r="B27" s="6"/>
    </row>
    <row r="28" spans="1:6">
      <c r="A28" s="105" t="s">
        <v>1135</v>
      </c>
      <c r="B28" s="6"/>
    </row>
    <row r="29" spans="1:6" ht="30">
      <c r="A29" s="82" t="s">
        <v>1136</v>
      </c>
      <c r="B29" s="6"/>
    </row>
    <row r="30" spans="1:6">
      <c r="A30" s="82" t="s">
        <v>1101</v>
      </c>
      <c r="B30" s="6"/>
    </row>
    <row r="31" spans="1:6">
      <c r="A31" s="82" t="s">
        <v>1101</v>
      </c>
      <c r="B31" s="6"/>
    </row>
    <row r="32" spans="1:6" ht="45">
      <c r="A32" s="82" t="s">
        <v>1137</v>
      </c>
      <c r="B32" s="6"/>
    </row>
    <row r="33" spans="1:11">
      <c r="A33" s="82" t="s">
        <v>1101</v>
      </c>
      <c r="B33" s="6"/>
    </row>
    <row r="34" spans="1:11">
      <c r="A34" s="105" t="s">
        <v>1138</v>
      </c>
      <c r="B34" s="6"/>
    </row>
    <row r="35" spans="1:11" ht="30">
      <c r="A35" s="82" t="s">
        <v>1139</v>
      </c>
      <c r="B35" s="6"/>
    </row>
    <row r="36" spans="1:11" ht="45">
      <c r="A36" s="82" t="s">
        <v>1140</v>
      </c>
      <c r="B36" s="6"/>
    </row>
    <row r="37" spans="1:11" ht="45">
      <c r="A37" s="6"/>
      <c r="B37" s="82" t="s">
        <v>1141</v>
      </c>
    </row>
    <row r="38" spans="1:11" ht="105">
      <c r="A38" s="6"/>
      <c r="B38" s="82" t="s">
        <v>1142</v>
      </c>
    </row>
    <row r="39" spans="1:11" ht="135">
      <c r="A39" s="6"/>
      <c r="B39" s="82" t="s">
        <v>1143</v>
      </c>
    </row>
    <row r="40" spans="1:11" ht="75">
      <c r="A40" s="87" t="s">
        <v>1144</v>
      </c>
      <c r="B40" s="6"/>
      <c r="C40">
        <v>3</v>
      </c>
      <c r="D40" t="s">
        <v>1053</v>
      </c>
      <c r="E40" s="86" t="s">
        <v>1145</v>
      </c>
      <c r="F40" t="s">
        <v>1146</v>
      </c>
    </row>
    <row r="41" spans="1:11">
      <c r="A41" s="82" t="s">
        <v>1101</v>
      </c>
      <c r="B41" s="6"/>
    </row>
    <row r="42" spans="1:11">
      <c r="A42" s="82" t="s">
        <v>1101</v>
      </c>
      <c r="B42" s="6"/>
    </row>
    <row r="43" spans="1:11">
      <c r="A43" s="105" t="s">
        <v>1147</v>
      </c>
      <c r="B43" s="6"/>
    </row>
    <row r="44" spans="1:11" ht="45">
      <c r="A44" s="82" t="s">
        <v>1148</v>
      </c>
      <c r="B44" s="6" t="s">
        <v>1113</v>
      </c>
      <c r="C44">
        <v>3</v>
      </c>
      <c r="D44" s="203">
        <v>3</v>
      </c>
      <c r="E44" s="86" t="s">
        <v>1149</v>
      </c>
      <c r="F44" t="s">
        <v>1150</v>
      </c>
    </row>
    <row r="45" spans="1:11" ht="30">
      <c r="A45" s="82" t="s">
        <v>1151</v>
      </c>
      <c r="B45" s="6"/>
      <c r="D45" s="203"/>
      <c r="E45" s="86" t="s">
        <v>1149</v>
      </c>
      <c r="F45" t="s">
        <v>1150</v>
      </c>
    </row>
    <row r="46" spans="1:11" ht="48.75" customHeight="1">
      <c r="A46" s="94" t="s">
        <v>1152</v>
      </c>
      <c r="B46" s="6"/>
      <c r="E46" s="95" t="s">
        <v>1153</v>
      </c>
    </row>
    <row r="47" spans="1:11" ht="45">
      <c r="A47" s="82" t="s">
        <v>1154</v>
      </c>
      <c r="B47" s="6"/>
    </row>
    <row r="48" spans="1:11">
      <c r="A48" s="82" t="s">
        <v>1155</v>
      </c>
      <c r="B48" s="6"/>
      <c r="I48" s="45" t="s">
        <v>1094</v>
      </c>
      <c r="J48" s="45" t="s">
        <v>1094</v>
      </c>
      <c r="K48" s="45" t="s">
        <v>1094</v>
      </c>
    </row>
    <row r="49" spans="1:11">
      <c r="A49" s="6"/>
      <c r="B49" s="89" t="s">
        <v>1156</v>
      </c>
      <c r="I49" s="91" t="s">
        <v>1077</v>
      </c>
      <c r="J49" s="91" t="s">
        <v>1157</v>
      </c>
      <c r="K49" s="92" t="s">
        <v>1158</v>
      </c>
    </row>
    <row r="50" spans="1:11">
      <c r="A50" s="6"/>
      <c r="B50" s="88" t="s">
        <v>1159</v>
      </c>
      <c r="H50" s="86"/>
      <c r="I50" s="90" t="s">
        <v>1160</v>
      </c>
      <c r="J50" s="90" t="s">
        <v>1161</v>
      </c>
      <c r="K50" s="93" t="s">
        <v>1162</v>
      </c>
    </row>
    <row r="51" spans="1:11" ht="180">
      <c r="A51" s="6"/>
      <c r="B51" s="82" t="s">
        <v>1163</v>
      </c>
    </row>
    <row r="52" spans="1:11" ht="45">
      <c r="A52" s="6"/>
      <c r="B52" s="82" t="s">
        <v>1164</v>
      </c>
    </row>
    <row r="53" spans="1:11">
      <c r="A53" s="105" t="s">
        <v>1165</v>
      </c>
      <c r="B53" s="6"/>
    </row>
    <row r="54" spans="1:11" ht="45">
      <c r="A54" s="82" t="s">
        <v>1166</v>
      </c>
      <c r="B54" s="6" t="s">
        <v>1167</v>
      </c>
      <c r="C54">
        <v>2</v>
      </c>
      <c r="D54" t="s">
        <v>1053</v>
      </c>
      <c r="E54" s="85" t="s">
        <v>1168</v>
      </c>
      <c r="F54" t="s">
        <v>1169</v>
      </c>
    </row>
    <row r="55" spans="1:11" ht="30">
      <c r="A55" s="82" t="s">
        <v>1170</v>
      </c>
      <c r="B55" s="6"/>
    </row>
    <row r="56" spans="1:11">
      <c r="A56" s="82" t="s">
        <v>1171</v>
      </c>
      <c r="B56" s="6"/>
    </row>
    <row r="57" spans="1:11" ht="45">
      <c r="A57" s="82" t="s">
        <v>1172</v>
      </c>
      <c r="B57" s="6"/>
    </row>
    <row r="58" spans="1:11">
      <c r="A58" s="82" t="s">
        <v>1101</v>
      </c>
      <c r="B58" s="6"/>
    </row>
    <row r="59" spans="1:11">
      <c r="A59" s="82" t="s">
        <v>1101</v>
      </c>
      <c r="B59" s="6"/>
    </row>
    <row r="60" spans="1:11">
      <c r="A60" s="105" t="s">
        <v>1173</v>
      </c>
      <c r="B60" s="6"/>
    </row>
    <row r="61" spans="1:11">
      <c r="A61" s="82" t="s">
        <v>1174</v>
      </c>
      <c r="B61" s="6"/>
    </row>
    <row r="62" spans="1:11" ht="30">
      <c r="A62" s="6"/>
      <c r="B62" s="82" t="s">
        <v>1175</v>
      </c>
    </row>
    <row r="63" spans="1:11" ht="45">
      <c r="A63" s="6"/>
      <c r="B63" s="82" t="s">
        <v>1176</v>
      </c>
    </row>
    <row r="64" spans="1:11" ht="30">
      <c r="A64" s="82" t="s">
        <v>1177</v>
      </c>
      <c r="B64" s="6"/>
    </row>
    <row r="65" spans="1:6" ht="60">
      <c r="A65" s="82" t="s">
        <v>1178</v>
      </c>
      <c r="B65" s="6"/>
    </row>
    <row r="66" spans="1:6" ht="30">
      <c r="A66" s="82" t="s">
        <v>1179</v>
      </c>
      <c r="B66" s="6"/>
    </row>
    <row r="67" spans="1:6" ht="30">
      <c r="A67" s="82" t="s">
        <v>1180</v>
      </c>
      <c r="B67" s="6"/>
    </row>
    <row r="68" spans="1:6" ht="45">
      <c r="A68" s="82" t="s">
        <v>1181</v>
      </c>
      <c r="B68" s="6"/>
    </row>
    <row r="69" spans="1:6">
      <c r="A69" s="82" t="s">
        <v>1182</v>
      </c>
      <c r="B69" s="6" t="s">
        <v>1183</v>
      </c>
      <c r="C69">
        <v>5</v>
      </c>
      <c r="D69" s="203">
        <v>5</v>
      </c>
      <c r="E69" s="86" t="s">
        <v>1184</v>
      </c>
    </row>
    <row r="70" spans="1:6" ht="30">
      <c r="A70" s="82" t="s">
        <v>1185</v>
      </c>
      <c r="B70" s="6"/>
    </row>
    <row r="71" spans="1:6" ht="30">
      <c r="A71" s="82" t="s">
        <v>1186</v>
      </c>
      <c r="B71" s="6"/>
    </row>
    <row r="72" spans="1:6">
      <c r="A72" s="82" t="s">
        <v>1101</v>
      </c>
      <c r="B72" s="6"/>
    </row>
    <row r="73" spans="1:6" ht="15.75">
      <c r="A73" s="106" t="s">
        <v>1187</v>
      </c>
      <c r="B73" s="6"/>
    </row>
    <row r="74" spans="1:6" ht="31.5">
      <c r="A74" s="83" t="s">
        <v>1188</v>
      </c>
      <c r="B74" s="6"/>
      <c r="C74">
        <v>1</v>
      </c>
      <c r="D74">
        <v>1</v>
      </c>
      <c r="E74" s="86" t="s">
        <v>1189</v>
      </c>
      <c r="F74" t="s">
        <v>1150</v>
      </c>
    </row>
    <row r="75" spans="1:6" ht="31.5">
      <c r="A75" s="83" t="s">
        <v>1190</v>
      </c>
      <c r="B75" s="6"/>
      <c r="C75">
        <v>2</v>
      </c>
      <c r="D75">
        <v>1</v>
      </c>
      <c r="E75" s="86" t="s">
        <v>1191</v>
      </c>
      <c r="F75" t="s">
        <v>1192</v>
      </c>
    </row>
    <row r="76" spans="1:6" ht="15.75">
      <c r="A76" s="83" t="s">
        <v>1101</v>
      </c>
      <c r="B76" s="6"/>
    </row>
  </sheetData>
  <phoneticPr fontId="5"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444AA-304D-4D01-AADB-39F9EAF6670C}">
  <dimension ref="A1:K72"/>
  <sheetViews>
    <sheetView workbookViewId="0">
      <selection activeCell="C19" sqref="C19"/>
    </sheetView>
  </sheetViews>
  <sheetFormatPr defaultColWidth="9.140625" defaultRowHeight="15"/>
  <cols>
    <col min="1" max="1" width="36.42578125" bestFit="1" customWidth="1"/>
    <col min="2" max="2" width="38.140625" customWidth="1"/>
    <col min="3" max="3" width="36.5703125" bestFit="1" customWidth="1"/>
    <col min="4" max="4" width="26.28515625" customWidth="1"/>
    <col min="5" max="5" width="21.28515625" bestFit="1" customWidth="1"/>
    <col min="6" max="7" width="21.28515625" customWidth="1"/>
    <col min="8" max="8" width="19.85546875" bestFit="1" customWidth="1"/>
    <col min="9" max="9" width="21.5703125" customWidth="1"/>
    <col min="10" max="10" width="23.5703125" bestFit="1" customWidth="1"/>
  </cols>
  <sheetData>
    <row r="1" spans="1:11" ht="39">
      <c r="A1" s="239" t="s">
        <v>5</v>
      </c>
      <c r="B1" s="239" t="s">
        <v>6</v>
      </c>
      <c r="C1" s="239" t="s">
        <v>1193</v>
      </c>
      <c r="D1" s="239" t="s">
        <v>1194</v>
      </c>
      <c r="E1" s="240" t="s">
        <v>1195</v>
      </c>
      <c r="F1" s="248"/>
      <c r="G1" s="248"/>
    </row>
    <row r="2" spans="1:11">
      <c r="A2" s="236" t="s">
        <v>93</v>
      </c>
      <c r="B2" s="173" t="s">
        <v>1196</v>
      </c>
      <c r="C2" s="173">
        <v>14</v>
      </c>
      <c r="D2" s="173">
        <f>C2*20</f>
        <v>280</v>
      </c>
      <c r="E2" s="237">
        <v>22.5</v>
      </c>
      <c r="F2" s="247"/>
      <c r="G2" s="247"/>
    </row>
    <row r="3" spans="1:11" ht="30">
      <c r="A3" s="236" t="s">
        <v>116</v>
      </c>
      <c r="B3" s="238" t="s">
        <v>1197</v>
      </c>
      <c r="C3" s="173">
        <v>12</v>
      </c>
      <c r="D3" s="173">
        <f>C3*20</f>
        <v>240</v>
      </c>
      <c r="E3" s="237">
        <v>18.3</v>
      </c>
      <c r="F3" s="247"/>
      <c r="G3" s="247"/>
    </row>
    <row r="5" spans="1:11">
      <c r="C5" t="s">
        <v>1111</v>
      </c>
    </row>
    <row r="6" spans="1:11" ht="30">
      <c r="A6" s="241" t="s">
        <v>18</v>
      </c>
      <c r="B6" s="232" t="s">
        <v>61</v>
      </c>
      <c r="C6" s="232" t="s">
        <v>96</v>
      </c>
      <c r="D6" s="232" t="s">
        <v>1198</v>
      </c>
      <c r="E6" s="232" t="s">
        <v>134</v>
      </c>
      <c r="F6" s="232" t="s">
        <v>1199</v>
      </c>
      <c r="G6" s="232" t="s">
        <v>1200</v>
      </c>
      <c r="H6" s="232" t="s">
        <v>1201</v>
      </c>
      <c r="I6" s="304" t="s">
        <v>1202</v>
      </c>
      <c r="J6" s="232" t="s">
        <v>1203</v>
      </c>
      <c r="K6" s="232"/>
    </row>
    <row r="7" spans="1:11" ht="60">
      <c r="A7" s="241" t="s">
        <v>1204</v>
      </c>
      <c r="B7" s="242" t="s">
        <v>1205</v>
      </c>
      <c r="C7" s="169" t="s">
        <v>1206</v>
      </c>
      <c r="D7" s="242" t="s">
        <v>1207</v>
      </c>
      <c r="E7" s="242" t="s">
        <v>1208</v>
      </c>
      <c r="F7" s="242" t="s">
        <v>1207</v>
      </c>
      <c r="G7" s="242" t="s">
        <v>1209</v>
      </c>
      <c r="H7" s="242" t="s">
        <v>1207</v>
      </c>
      <c r="I7" s="242" t="s">
        <v>1207</v>
      </c>
      <c r="J7" s="242"/>
      <c r="K7" s="242"/>
    </row>
    <row r="8" spans="1:11">
      <c r="A8" s="241" t="s">
        <v>1210</v>
      </c>
      <c r="B8" s="169">
        <v>2</v>
      </c>
      <c r="C8" s="169">
        <v>3</v>
      </c>
      <c r="D8" s="169">
        <v>2</v>
      </c>
      <c r="E8" s="169">
        <v>2</v>
      </c>
      <c r="F8" s="169">
        <v>2</v>
      </c>
      <c r="G8" s="169">
        <v>3</v>
      </c>
      <c r="H8" s="169">
        <v>2</v>
      </c>
      <c r="I8" s="169">
        <v>3</v>
      </c>
      <c r="J8" s="169"/>
      <c r="K8" s="169"/>
    </row>
    <row r="9" spans="1:11">
      <c r="A9" s="241" t="s">
        <v>1211</v>
      </c>
      <c r="B9" s="169">
        <v>20</v>
      </c>
      <c r="C9" s="169">
        <v>15</v>
      </c>
      <c r="D9" s="169"/>
      <c r="E9" s="169">
        <v>20</v>
      </c>
      <c r="F9" s="169">
        <v>15</v>
      </c>
      <c r="G9" s="169">
        <v>17</v>
      </c>
      <c r="H9" s="169" t="s">
        <v>1212</v>
      </c>
      <c r="I9" s="169"/>
      <c r="J9" s="169"/>
      <c r="K9" s="169"/>
    </row>
    <row r="10" spans="1:11">
      <c r="A10" s="241" t="s">
        <v>1213</v>
      </c>
      <c r="B10" s="169" t="s">
        <v>1214</v>
      </c>
      <c r="C10" s="169" t="s">
        <v>1215</v>
      </c>
      <c r="D10" s="169" t="s">
        <v>1214</v>
      </c>
      <c r="E10" s="169" t="s">
        <v>1214</v>
      </c>
      <c r="F10" s="169" t="s">
        <v>1216</v>
      </c>
      <c r="G10" s="169" t="s">
        <v>1214</v>
      </c>
      <c r="H10" s="169" t="s">
        <v>1214</v>
      </c>
      <c r="I10" s="169" t="s">
        <v>1214</v>
      </c>
      <c r="J10" s="169" t="s">
        <v>1214</v>
      </c>
      <c r="K10" s="169"/>
    </row>
    <row r="11" spans="1:11" ht="30">
      <c r="A11" s="241" t="s">
        <v>1217</v>
      </c>
      <c r="B11" s="242" t="s">
        <v>1218</v>
      </c>
      <c r="C11" s="242" t="s">
        <v>1218</v>
      </c>
      <c r="D11" s="65">
        <v>520</v>
      </c>
      <c r="E11" s="169" t="s">
        <v>1219</v>
      </c>
      <c r="F11" s="169">
        <v>520</v>
      </c>
      <c r="G11" s="169">
        <v>520</v>
      </c>
      <c r="H11" s="169">
        <v>520</v>
      </c>
      <c r="I11" s="169">
        <v>520</v>
      </c>
      <c r="J11" s="169">
        <v>520</v>
      </c>
      <c r="K11" s="169"/>
    </row>
    <row r="12" spans="1:11" ht="30">
      <c r="A12" s="252" t="s">
        <v>1220</v>
      </c>
      <c r="B12" s="314" t="s">
        <v>1221</v>
      </c>
      <c r="C12" s="315" t="s">
        <v>1222</v>
      </c>
      <c r="D12" s="254">
        <v>6.05</v>
      </c>
      <c r="E12" s="253">
        <v>18.82</v>
      </c>
      <c r="F12" s="253">
        <v>17.7</v>
      </c>
      <c r="G12" s="253">
        <v>17.41</v>
      </c>
      <c r="H12" s="253">
        <v>30.25</v>
      </c>
      <c r="I12" s="305">
        <f>(9*520+310)/520</f>
        <v>9.5961538461538467</v>
      </c>
      <c r="J12" s="253">
        <v>13</v>
      </c>
      <c r="K12" s="253"/>
    </row>
    <row r="13" spans="1:11" ht="45">
      <c r="A13" s="241" t="s">
        <v>1223</v>
      </c>
      <c r="B13" s="173"/>
      <c r="C13" s="238" t="s">
        <v>1224</v>
      </c>
      <c r="D13" s="523" t="s">
        <v>1225</v>
      </c>
      <c r="E13" s="251" t="s">
        <v>1226</v>
      </c>
      <c r="F13" s="251"/>
      <c r="G13" s="251"/>
      <c r="H13" s="173" t="s">
        <v>1227</v>
      </c>
      <c r="I13" s="173" t="s">
        <v>1228</v>
      </c>
      <c r="J13" s="238" t="s">
        <v>1229</v>
      </c>
      <c r="K13" s="173"/>
    </row>
    <row r="17" spans="1:1">
      <c r="A17" s="249" t="s">
        <v>1230</v>
      </c>
    </row>
    <row r="18" spans="1:1">
      <c r="A18" s="88" t="s">
        <v>1231</v>
      </c>
    </row>
    <row r="19" spans="1:1">
      <c r="A19" s="88" t="s">
        <v>1101</v>
      </c>
    </row>
    <row r="20" spans="1:1">
      <c r="A20" s="88" t="s">
        <v>1232</v>
      </c>
    </row>
    <row r="21" spans="1:1">
      <c r="A21" s="88" t="s">
        <v>1233</v>
      </c>
    </row>
    <row r="22" spans="1:1">
      <c r="A22" s="88" t="s">
        <v>1234</v>
      </c>
    </row>
    <row r="23" spans="1:1">
      <c r="A23" s="88" t="s">
        <v>1101</v>
      </c>
    </row>
    <row r="24" spans="1:1">
      <c r="A24" s="250" t="s">
        <v>1235</v>
      </c>
    </row>
    <row r="25" spans="1:1">
      <c r="A25" s="250" t="s">
        <v>1236</v>
      </c>
    </row>
    <row r="26" spans="1:1">
      <c r="A26" s="88" t="s">
        <v>1237</v>
      </c>
    </row>
    <row r="27" spans="1:1">
      <c r="A27" s="88" t="s">
        <v>1238</v>
      </c>
    </row>
    <row r="28" spans="1:1">
      <c r="A28" s="88" t="s">
        <v>1239</v>
      </c>
    </row>
    <row r="29" spans="1:1">
      <c r="A29" s="88" t="s">
        <v>1240</v>
      </c>
    </row>
    <row r="30" spans="1:1">
      <c r="A30" s="88" t="s">
        <v>1101</v>
      </c>
    </row>
    <row r="31" spans="1:1">
      <c r="A31" s="88" t="s">
        <v>1101</v>
      </c>
    </row>
    <row r="32" spans="1:1">
      <c r="A32" s="88" t="s">
        <v>1241</v>
      </c>
    </row>
    <row r="33" spans="1:1">
      <c r="A33" s="88" t="s">
        <v>1242</v>
      </c>
    </row>
    <row r="34" spans="1:1">
      <c r="A34" s="88" t="s">
        <v>1243</v>
      </c>
    </row>
    <row r="35" spans="1:1">
      <c r="A35" s="88" t="s">
        <v>1244</v>
      </c>
    </row>
    <row r="36" spans="1:1">
      <c r="A36" s="88" t="s">
        <v>1245</v>
      </c>
    </row>
    <row r="39" spans="1:1" ht="15.75">
      <c r="A39" s="206" t="s">
        <v>1246</v>
      </c>
    </row>
    <row r="40" spans="1:1">
      <c r="A40" s="208" t="s">
        <v>1247</v>
      </c>
    </row>
    <row r="41" spans="1:1">
      <c r="A41" s="207" t="s">
        <v>1101</v>
      </c>
    </row>
    <row r="42" spans="1:1">
      <c r="A42" s="207" t="s">
        <v>1248</v>
      </c>
    </row>
    <row r="44" spans="1:1">
      <c r="A44" s="207" t="s">
        <v>1249</v>
      </c>
    </row>
    <row r="45" spans="1:1">
      <c r="A45" s="207" t="s">
        <v>1250</v>
      </c>
    </row>
    <row r="46" spans="1:1">
      <c r="A46" s="207" t="s">
        <v>1251</v>
      </c>
    </row>
    <row r="47" spans="1:1">
      <c r="A47" s="207" t="s">
        <v>1252</v>
      </c>
    </row>
    <row r="48" spans="1:1">
      <c r="A48" s="207" t="s">
        <v>1253</v>
      </c>
    </row>
    <row r="50" spans="1:2">
      <c r="A50" t="s">
        <v>1254</v>
      </c>
    </row>
    <row r="52" spans="1:2">
      <c r="A52" t="s">
        <v>1255</v>
      </c>
    </row>
    <row r="53" spans="1:2">
      <c r="A53" t="s">
        <v>1256</v>
      </c>
    </row>
    <row r="54" spans="1:2">
      <c r="A54" t="s">
        <v>1257</v>
      </c>
    </row>
    <row r="55" spans="1:2">
      <c r="A55" t="s">
        <v>1258</v>
      </c>
    </row>
    <row r="58" spans="1:2">
      <c r="A58" s="86" t="s">
        <v>1259</v>
      </c>
    </row>
    <row r="60" spans="1:2">
      <c r="A60" s="249" t="s">
        <v>1260</v>
      </c>
      <c r="B60" s="249" t="s">
        <v>1261</v>
      </c>
    </row>
    <row r="61" spans="1:2">
      <c r="A61" s="249" t="s">
        <v>1262</v>
      </c>
      <c r="B61" s="249" t="s">
        <v>1262</v>
      </c>
    </row>
    <row r="62" spans="1:2">
      <c r="A62" t="s">
        <v>1263</v>
      </c>
      <c r="B62" t="s">
        <v>1264</v>
      </c>
    </row>
    <row r="63" spans="1:2">
      <c r="A63" t="s">
        <v>1265</v>
      </c>
      <c r="B63" t="s">
        <v>1266</v>
      </c>
    </row>
    <row r="64" spans="1:2">
      <c r="A64" t="s">
        <v>1267</v>
      </c>
      <c r="B64" t="s">
        <v>1268</v>
      </c>
    </row>
    <row r="65" spans="1:2">
      <c r="B65" t="s">
        <v>1269</v>
      </c>
    </row>
    <row r="66" spans="1:2">
      <c r="B66" t="s">
        <v>1270</v>
      </c>
    </row>
    <row r="68" spans="1:2">
      <c r="A68" s="249" t="s">
        <v>1271</v>
      </c>
      <c r="B68" s="249" t="s">
        <v>1271</v>
      </c>
    </row>
    <row r="69" spans="1:2">
      <c r="A69" t="s">
        <v>1263</v>
      </c>
      <c r="B69" t="s">
        <v>1272</v>
      </c>
    </row>
    <row r="70" spans="1:2">
      <c r="A70" t="s">
        <v>1265</v>
      </c>
      <c r="B70" t="s">
        <v>1273</v>
      </c>
    </row>
    <row r="71" spans="1:2">
      <c r="A71" t="s">
        <v>1274</v>
      </c>
      <c r="B71" t="s">
        <v>1275</v>
      </c>
    </row>
    <row r="72" spans="1:2">
      <c r="A72" t="s">
        <v>1276</v>
      </c>
      <c r="B72" t="s">
        <v>1270</v>
      </c>
    </row>
  </sheetData>
  <hyperlinks>
    <hyperlink ref="E13" r:id="rId1" xr:uid="{0E1E943B-4843-49F0-80A8-BDB5392A2CDD}"/>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8D21E-8729-4C41-929E-F9EC3E750E74}">
  <dimension ref="A1:N112"/>
  <sheetViews>
    <sheetView topLeftCell="A78" workbookViewId="0">
      <selection activeCell="A31" sqref="A31"/>
    </sheetView>
  </sheetViews>
  <sheetFormatPr defaultColWidth="9.140625" defaultRowHeight="15"/>
  <cols>
    <col min="1" max="1" width="24.140625" customWidth="1"/>
    <col min="2" max="2" width="22.42578125" bestFit="1" customWidth="1"/>
    <col min="3" max="3" width="26.7109375" bestFit="1" customWidth="1"/>
    <col min="4" max="4" width="15.5703125" bestFit="1" customWidth="1"/>
    <col min="5" max="5" width="10.28515625" bestFit="1" customWidth="1"/>
    <col min="6" max="6" width="20.28515625" bestFit="1" customWidth="1"/>
    <col min="9" max="9" width="11.7109375" bestFit="1" customWidth="1"/>
    <col min="10" max="10" width="12.5703125" bestFit="1" customWidth="1"/>
    <col min="13" max="13" width="19.5703125" bestFit="1" customWidth="1"/>
  </cols>
  <sheetData>
    <row r="1" spans="1:14" ht="46.5">
      <c r="A1" s="415" t="s">
        <v>1277</v>
      </c>
    </row>
    <row r="2" spans="1:14" ht="18.75">
      <c r="A2" s="96" t="s">
        <v>1278</v>
      </c>
    </row>
    <row r="3" spans="1:14">
      <c r="A3" t="s">
        <v>1279</v>
      </c>
    </row>
    <row r="4" spans="1:14">
      <c r="A4" t="s">
        <v>1280</v>
      </c>
    </row>
    <row r="6" spans="1:14">
      <c r="B6" s="520" t="s">
        <v>745</v>
      </c>
      <c r="C6" s="520"/>
      <c r="D6" s="520"/>
      <c r="F6" s="192" t="s">
        <v>1281</v>
      </c>
    </row>
    <row r="7" spans="1:14" ht="15" customHeight="1">
      <c r="A7" t="s">
        <v>1282</v>
      </c>
      <c r="B7" s="173" t="s">
        <v>1283</v>
      </c>
      <c r="C7" s="211">
        <v>33</v>
      </c>
      <c r="D7" s="191">
        <f>C7*1/C8</f>
        <v>0.7021276595744681</v>
      </c>
      <c r="F7" s="521" t="s">
        <v>1284</v>
      </c>
    </row>
    <row r="8" spans="1:14" ht="15" customHeight="1">
      <c r="B8" s="173" t="s">
        <v>1285</v>
      </c>
      <c r="C8" s="211">
        <f>30.5+16.5</f>
        <v>47</v>
      </c>
      <c r="D8" s="173">
        <v>1</v>
      </c>
      <c r="F8" s="521"/>
    </row>
    <row r="11" spans="1:14" ht="30">
      <c r="H11" s="6" t="s">
        <v>1286</v>
      </c>
      <c r="I11" s="6" t="s">
        <v>1287</v>
      </c>
      <c r="M11" s="522" t="s">
        <v>1288</v>
      </c>
      <c r="N11" s="522"/>
    </row>
    <row r="12" spans="1:14">
      <c r="A12" s="136" t="s">
        <v>757</v>
      </c>
      <c r="B12" s="193" t="s">
        <v>204</v>
      </c>
      <c r="C12" s="112">
        <v>1</v>
      </c>
      <c r="D12" s="120" t="s">
        <v>758</v>
      </c>
      <c r="E12" s="130">
        <v>34</v>
      </c>
      <c r="F12" s="131" t="s">
        <v>759</v>
      </c>
      <c r="H12" s="112">
        <v>1</v>
      </c>
      <c r="I12" s="44">
        <f>E12*$D$7</f>
        <v>23.872340425531917</v>
      </c>
      <c r="M12" s="173" t="s">
        <v>1289</v>
      </c>
      <c r="N12" s="211">
        <f>+I52</f>
        <v>301.29787234042556</v>
      </c>
    </row>
    <row r="13" spans="1:14">
      <c r="A13" s="139" t="s">
        <v>763</v>
      </c>
      <c r="B13" s="194" t="s">
        <v>191</v>
      </c>
      <c r="C13" s="141">
        <v>1</v>
      </c>
      <c r="D13" s="121" t="s">
        <v>758</v>
      </c>
      <c r="E13" s="129">
        <v>36</v>
      </c>
      <c r="F13" s="134" t="s">
        <v>759</v>
      </c>
      <c r="H13" s="141">
        <v>1</v>
      </c>
      <c r="I13" s="44">
        <f>E13*$D$7</f>
        <v>25.276595744680851</v>
      </c>
      <c r="M13" s="173" t="s">
        <v>1290</v>
      </c>
      <c r="N13" s="211">
        <f>+I82</f>
        <v>19.928571428571423</v>
      </c>
    </row>
    <row r="14" spans="1:14">
      <c r="A14" s="139" t="s">
        <v>766</v>
      </c>
      <c r="B14" s="194" t="s">
        <v>184</v>
      </c>
      <c r="C14" s="128">
        <v>1</v>
      </c>
      <c r="D14" s="121" t="s">
        <v>758</v>
      </c>
      <c r="E14" s="129">
        <v>38</v>
      </c>
      <c r="F14" s="134" t="s">
        <v>759</v>
      </c>
      <c r="H14" s="128">
        <v>1</v>
      </c>
      <c r="I14" s="44">
        <f>E14*$D$7</f>
        <v>26.680851063829788</v>
      </c>
      <c r="M14" s="173" t="s">
        <v>1291</v>
      </c>
      <c r="N14" s="211">
        <f>+I112</f>
        <v>10.399999999999977</v>
      </c>
    </row>
    <row r="15" spans="1:14">
      <c r="A15" s="139" t="s">
        <v>769</v>
      </c>
      <c r="B15" s="195" t="s">
        <v>193</v>
      </c>
      <c r="C15" s="128">
        <v>1</v>
      </c>
      <c r="D15" s="121" t="s">
        <v>758</v>
      </c>
      <c r="E15" s="129">
        <v>36</v>
      </c>
      <c r="F15" s="126" t="s">
        <v>759</v>
      </c>
      <c r="H15" s="128">
        <v>1</v>
      </c>
      <c r="I15" s="44">
        <f>E15-1</f>
        <v>35</v>
      </c>
      <c r="M15" s="173" t="s">
        <v>1292</v>
      </c>
      <c r="N15" s="212">
        <f>+N12+N13+N14</f>
        <v>331.62644376899698</v>
      </c>
    </row>
    <row r="16" spans="1:14">
      <c r="A16" s="139" t="s">
        <v>772</v>
      </c>
      <c r="B16" s="195" t="s">
        <v>210</v>
      </c>
      <c r="C16" s="110">
        <v>1</v>
      </c>
      <c r="D16" s="121" t="s">
        <v>758</v>
      </c>
      <c r="E16" s="122">
        <v>33.5</v>
      </c>
      <c r="F16" s="126" t="s">
        <v>759</v>
      </c>
      <c r="H16" s="110">
        <v>1</v>
      </c>
      <c r="I16" s="44">
        <f>E16-1</f>
        <v>32.5</v>
      </c>
    </row>
    <row r="17" spans="1:9">
      <c r="A17" s="139" t="s">
        <v>775</v>
      </c>
      <c r="B17" s="195" t="s">
        <v>242</v>
      </c>
      <c r="C17" s="141">
        <v>1</v>
      </c>
      <c r="D17" s="121" t="s">
        <v>758</v>
      </c>
      <c r="E17" s="129">
        <v>26.5</v>
      </c>
      <c r="F17" s="134" t="s">
        <v>759</v>
      </c>
      <c r="H17" s="141">
        <v>1</v>
      </c>
      <c r="I17" s="44">
        <f>E17-1</f>
        <v>25.5</v>
      </c>
    </row>
    <row r="18" spans="1:9">
      <c r="A18" s="139" t="s">
        <v>778</v>
      </c>
      <c r="B18" s="195" t="s">
        <v>246</v>
      </c>
      <c r="C18" s="128">
        <v>1</v>
      </c>
      <c r="D18" s="121" t="s">
        <v>758</v>
      </c>
      <c r="E18" s="129">
        <v>26</v>
      </c>
      <c r="F18" s="134" t="s">
        <v>759</v>
      </c>
      <c r="H18" s="128">
        <v>1</v>
      </c>
      <c r="I18" s="44">
        <f>E18-1</f>
        <v>25</v>
      </c>
    </row>
    <row r="19" spans="1:9">
      <c r="A19" s="139" t="s">
        <v>781</v>
      </c>
      <c r="B19" s="128" t="s">
        <v>218</v>
      </c>
      <c r="C19" s="128">
        <v>1</v>
      </c>
      <c r="D19" s="121" t="s">
        <v>758</v>
      </c>
      <c r="E19" s="129">
        <v>31</v>
      </c>
      <c r="F19" s="134" t="s">
        <v>759</v>
      </c>
      <c r="H19" s="128">
        <v>1</v>
      </c>
      <c r="I19" s="44">
        <f t="shared" ref="I19:I24" si="0">E19</f>
        <v>31</v>
      </c>
    </row>
    <row r="20" spans="1:9">
      <c r="A20" s="139" t="s">
        <v>784</v>
      </c>
      <c r="B20" s="128" t="s">
        <v>195</v>
      </c>
      <c r="C20" s="128">
        <v>1</v>
      </c>
      <c r="D20" s="121" t="s">
        <v>758</v>
      </c>
      <c r="E20" s="129">
        <v>36</v>
      </c>
      <c r="F20" s="134" t="s">
        <v>759</v>
      </c>
      <c r="H20" s="128">
        <v>1</v>
      </c>
      <c r="I20" s="44">
        <f t="shared" si="0"/>
        <v>36</v>
      </c>
    </row>
    <row r="21" spans="1:9">
      <c r="A21" s="139" t="s">
        <v>787</v>
      </c>
      <c r="B21" s="128" t="s">
        <v>234</v>
      </c>
      <c r="C21" s="128">
        <v>1</v>
      </c>
      <c r="D21" s="121" t="s">
        <v>758</v>
      </c>
      <c r="E21" s="129">
        <v>29</v>
      </c>
      <c r="F21" s="134" t="s">
        <v>759</v>
      </c>
      <c r="H21" s="128">
        <v>1</v>
      </c>
      <c r="I21" s="44">
        <f t="shared" si="0"/>
        <v>29</v>
      </c>
    </row>
    <row r="22" spans="1:9">
      <c r="A22" s="139" t="s">
        <v>790</v>
      </c>
      <c r="B22" s="128" t="s">
        <v>197</v>
      </c>
      <c r="C22" s="128">
        <v>1</v>
      </c>
      <c r="D22" s="121" t="s">
        <v>758</v>
      </c>
      <c r="E22" s="129">
        <v>35</v>
      </c>
      <c r="F22" s="134" t="s">
        <v>759</v>
      </c>
      <c r="H22" s="128">
        <v>1</v>
      </c>
      <c r="I22" s="44">
        <f t="shared" si="0"/>
        <v>35</v>
      </c>
    </row>
    <row r="23" spans="1:9">
      <c r="A23" s="139" t="s">
        <v>793</v>
      </c>
      <c r="B23" s="128" t="s">
        <v>252</v>
      </c>
      <c r="C23" s="128">
        <v>1</v>
      </c>
      <c r="D23" s="121" t="s">
        <v>758</v>
      </c>
      <c r="E23" s="129">
        <v>23.5</v>
      </c>
      <c r="F23" s="134" t="s">
        <v>759</v>
      </c>
      <c r="H23" s="128">
        <v>1</v>
      </c>
      <c r="I23" s="44">
        <f t="shared" si="0"/>
        <v>23.5</v>
      </c>
    </row>
    <row r="24" spans="1:9">
      <c r="A24" s="139" t="s">
        <v>796</v>
      </c>
      <c r="B24" s="128" t="s">
        <v>206</v>
      </c>
      <c r="C24" s="128">
        <v>1</v>
      </c>
      <c r="D24" s="121" t="s">
        <v>758</v>
      </c>
      <c r="E24" s="129">
        <v>34</v>
      </c>
      <c r="F24" s="134" t="s">
        <v>759</v>
      </c>
      <c r="H24" s="128">
        <v>1</v>
      </c>
      <c r="I24" s="44">
        <f t="shared" si="0"/>
        <v>34</v>
      </c>
    </row>
    <row r="25" spans="1:9">
      <c r="A25" s="139" t="s">
        <v>799</v>
      </c>
      <c r="B25" s="196" t="s">
        <v>254</v>
      </c>
      <c r="C25" s="128">
        <v>1</v>
      </c>
      <c r="D25" s="121" t="s">
        <v>758</v>
      </c>
      <c r="E25" s="129">
        <v>22</v>
      </c>
      <c r="F25" s="134" t="s">
        <v>759</v>
      </c>
      <c r="H25" s="128">
        <v>1</v>
      </c>
      <c r="I25" s="44">
        <f t="shared" ref="I25:I32" si="1">E25-1</f>
        <v>21</v>
      </c>
    </row>
    <row r="26" spans="1:9">
      <c r="A26" s="139" t="s">
        <v>802</v>
      </c>
      <c r="B26" s="196" t="s">
        <v>212</v>
      </c>
      <c r="C26" s="128">
        <v>1</v>
      </c>
      <c r="D26" s="121" t="s">
        <v>758</v>
      </c>
      <c r="E26" s="129">
        <v>33</v>
      </c>
      <c r="F26" s="134" t="s">
        <v>759</v>
      </c>
      <c r="H26" s="128">
        <v>1</v>
      </c>
      <c r="I26" s="44">
        <f t="shared" si="1"/>
        <v>32</v>
      </c>
    </row>
    <row r="27" spans="1:9">
      <c r="A27" s="139" t="s">
        <v>803</v>
      </c>
      <c r="B27" s="196" t="s">
        <v>258</v>
      </c>
      <c r="C27" s="128">
        <v>1</v>
      </c>
      <c r="D27" s="121" t="s">
        <v>758</v>
      </c>
      <c r="E27" s="129">
        <v>29.5</v>
      </c>
      <c r="F27" s="134" t="s">
        <v>759</v>
      </c>
      <c r="H27" s="128">
        <v>1</v>
      </c>
      <c r="I27" s="44">
        <f t="shared" si="1"/>
        <v>28.5</v>
      </c>
    </row>
    <row r="28" spans="1:9">
      <c r="A28" s="139" t="s">
        <v>804</v>
      </c>
      <c r="B28" s="196" t="s">
        <v>805</v>
      </c>
      <c r="C28" s="128">
        <v>1</v>
      </c>
      <c r="D28" s="121" t="s">
        <v>758</v>
      </c>
      <c r="E28" s="129">
        <v>21</v>
      </c>
      <c r="F28" s="134" t="s">
        <v>759</v>
      </c>
      <c r="H28" s="128">
        <v>1</v>
      </c>
      <c r="I28" s="44">
        <f t="shared" si="1"/>
        <v>20</v>
      </c>
    </row>
    <row r="29" spans="1:9">
      <c r="A29" s="139" t="s">
        <v>806</v>
      </c>
      <c r="B29" s="196" t="s">
        <v>273</v>
      </c>
      <c r="C29" s="128">
        <v>1</v>
      </c>
      <c r="D29" s="121" t="s">
        <v>758</v>
      </c>
      <c r="E29" s="129">
        <v>20</v>
      </c>
      <c r="F29" s="134" t="s">
        <v>759</v>
      </c>
      <c r="H29" s="128">
        <v>1</v>
      </c>
      <c r="I29" s="44">
        <f t="shared" si="1"/>
        <v>19</v>
      </c>
    </row>
    <row r="30" spans="1:9">
      <c r="A30" s="139" t="s">
        <v>807</v>
      </c>
      <c r="B30" s="196" t="s">
        <v>238</v>
      </c>
      <c r="C30" s="128">
        <v>1</v>
      </c>
      <c r="D30" s="121" t="s">
        <v>758</v>
      </c>
      <c r="E30" s="129">
        <v>27.5</v>
      </c>
      <c r="F30" s="134" t="s">
        <v>759</v>
      </c>
      <c r="H30" s="128">
        <v>1</v>
      </c>
      <c r="I30" s="44">
        <f t="shared" si="1"/>
        <v>26.5</v>
      </c>
    </row>
    <row r="31" spans="1:9">
      <c r="A31" s="139" t="s">
        <v>808</v>
      </c>
      <c r="B31" s="196" t="s">
        <v>266</v>
      </c>
      <c r="C31" s="128">
        <v>1</v>
      </c>
      <c r="D31" s="121" t="s">
        <v>758</v>
      </c>
      <c r="E31" s="129">
        <v>20.5</v>
      </c>
      <c r="F31" s="134" t="s">
        <v>759</v>
      </c>
      <c r="H31" s="128">
        <v>1</v>
      </c>
      <c r="I31" s="44">
        <f t="shared" si="1"/>
        <v>19.5</v>
      </c>
    </row>
    <row r="32" spans="1:9">
      <c r="A32" s="139" t="s">
        <v>809</v>
      </c>
      <c r="B32" s="196" t="s">
        <v>244</v>
      </c>
      <c r="C32" s="128">
        <v>1</v>
      </c>
      <c r="D32" s="110" t="s">
        <v>758</v>
      </c>
      <c r="E32" s="129">
        <v>26.5</v>
      </c>
      <c r="F32" s="134" t="s">
        <v>759</v>
      </c>
      <c r="H32" s="128">
        <v>1</v>
      </c>
      <c r="I32" s="44">
        <f t="shared" si="1"/>
        <v>25.5</v>
      </c>
    </row>
    <row r="33" spans="1:9">
      <c r="A33" s="119" t="s">
        <v>810</v>
      </c>
      <c r="B33" s="120" t="s">
        <v>59</v>
      </c>
      <c r="C33" s="112">
        <v>7</v>
      </c>
      <c r="D33" s="116" t="s">
        <v>758</v>
      </c>
      <c r="E33" s="123">
        <v>38.5</v>
      </c>
      <c r="F33" s="114" t="s">
        <v>759</v>
      </c>
      <c r="H33" s="112">
        <v>7</v>
      </c>
      <c r="I33" s="123">
        <v>38.5</v>
      </c>
    </row>
    <row r="34" spans="1:9" s="5" customFormat="1">
      <c r="A34" s="138" t="s">
        <v>749</v>
      </c>
      <c r="B34" s="110" t="s">
        <v>101</v>
      </c>
      <c r="C34" s="108">
        <v>7</v>
      </c>
      <c r="D34" s="121" t="s">
        <v>758</v>
      </c>
      <c r="E34" s="109">
        <v>16.5</v>
      </c>
      <c r="F34" s="111" t="s">
        <v>759</v>
      </c>
      <c r="G34"/>
      <c r="H34" s="108">
        <v>4</v>
      </c>
      <c r="I34" s="109">
        <v>16.5</v>
      </c>
    </row>
    <row r="35" spans="1:9">
      <c r="A35" s="136" t="s">
        <v>881</v>
      </c>
      <c r="B35" s="193" t="s">
        <v>250</v>
      </c>
      <c r="C35" s="112">
        <v>1</v>
      </c>
      <c r="D35" s="120" t="s">
        <v>882</v>
      </c>
      <c r="E35" s="130">
        <v>24</v>
      </c>
      <c r="F35" s="131" t="s">
        <v>759</v>
      </c>
      <c r="H35" s="112">
        <v>1</v>
      </c>
      <c r="I35" s="44">
        <f t="shared" ref="I35:I41" si="2">E35*$D$7</f>
        <v>16.851063829787236</v>
      </c>
    </row>
    <row r="36" spans="1:9">
      <c r="A36" s="139" t="s">
        <v>885</v>
      </c>
      <c r="B36" s="194" t="s">
        <v>248</v>
      </c>
      <c r="C36" s="141">
        <v>1</v>
      </c>
      <c r="D36" s="121" t="s">
        <v>882</v>
      </c>
      <c r="E36" s="129">
        <v>25</v>
      </c>
      <c r="F36" s="134" t="s">
        <v>759</v>
      </c>
      <c r="H36" s="141">
        <v>1</v>
      </c>
      <c r="I36" s="44">
        <f t="shared" si="2"/>
        <v>17.553191489361701</v>
      </c>
    </row>
    <row r="37" spans="1:9">
      <c r="A37" s="139" t="s">
        <v>888</v>
      </c>
      <c r="B37" s="194" t="s">
        <v>240</v>
      </c>
      <c r="C37" s="128">
        <v>1</v>
      </c>
      <c r="D37" s="121" t="s">
        <v>882</v>
      </c>
      <c r="E37" s="129">
        <v>27</v>
      </c>
      <c r="F37" s="134" t="s">
        <v>759</v>
      </c>
      <c r="H37" s="128">
        <v>1</v>
      </c>
      <c r="I37" s="44">
        <f t="shared" si="2"/>
        <v>18.957446808510639</v>
      </c>
    </row>
    <row r="38" spans="1:9">
      <c r="A38" s="139" t="s">
        <v>891</v>
      </c>
      <c r="B38" s="194" t="s">
        <v>216</v>
      </c>
      <c r="C38" s="128">
        <v>1</v>
      </c>
      <c r="D38" s="121" t="s">
        <v>882</v>
      </c>
      <c r="E38" s="129">
        <v>31.5</v>
      </c>
      <c r="F38" s="126" t="s">
        <v>759</v>
      </c>
      <c r="H38" s="128">
        <v>1</v>
      </c>
      <c r="I38" s="44">
        <f t="shared" si="2"/>
        <v>22.117021276595747</v>
      </c>
    </row>
    <row r="39" spans="1:9">
      <c r="A39" s="139" t="s">
        <v>746</v>
      </c>
      <c r="B39" s="194" t="s">
        <v>224</v>
      </c>
      <c r="C39" s="110">
        <v>1</v>
      </c>
      <c r="D39" s="121" t="s">
        <v>882</v>
      </c>
      <c r="E39" s="122">
        <v>30.5</v>
      </c>
      <c r="F39" s="126" t="s">
        <v>759</v>
      </c>
      <c r="H39" s="110">
        <v>1</v>
      </c>
      <c r="I39" s="44">
        <f t="shared" si="2"/>
        <v>21.414893617021278</v>
      </c>
    </row>
    <row r="40" spans="1:9">
      <c r="A40" s="139" t="s">
        <v>896</v>
      </c>
      <c r="B40" s="194" t="s">
        <v>222</v>
      </c>
      <c r="C40" s="141">
        <v>1</v>
      </c>
      <c r="D40" s="121" t="s">
        <v>882</v>
      </c>
      <c r="E40" s="129">
        <v>30.5</v>
      </c>
      <c r="F40" s="134" t="s">
        <v>759</v>
      </c>
      <c r="H40" s="141">
        <v>1</v>
      </c>
      <c r="I40" s="44">
        <f t="shared" si="2"/>
        <v>21.414893617021278</v>
      </c>
    </row>
    <row r="41" spans="1:9">
      <c r="A41" s="139" t="s">
        <v>899</v>
      </c>
      <c r="B41" s="194" t="s">
        <v>226</v>
      </c>
      <c r="C41" s="128">
        <v>1</v>
      </c>
      <c r="D41" s="121" t="s">
        <v>882</v>
      </c>
      <c r="E41" s="129">
        <v>30</v>
      </c>
      <c r="F41" s="134" t="s">
        <v>759</v>
      </c>
      <c r="H41" s="128">
        <v>1</v>
      </c>
      <c r="I41" s="44">
        <f t="shared" si="2"/>
        <v>21.063829787234042</v>
      </c>
    </row>
    <row r="42" spans="1:9">
      <c r="A42" s="139" t="s">
        <v>902</v>
      </c>
      <c r="B42" s="128" t="s">
        <v>208</v>
      </c>
      <c r="C42" s="128">
        <v>1</v>
      </c>
      <c r="D42" s="121" t="s">
        <v>882</v>
      </c>
      <c r="E42" s="129">
        <v>34</v>
      </c>
      <c r="F42" s="134" t="s">
        <v>759</v>
      </c>
      <c r="H42" s="128">
        <v>1</v>
      </c>
      <c r="I42" s="44">
        <f t="shared" ref="I42:I49" si="3">E42</f>
        <v>34</v>
      </c>
    </row>
    <row r="43" spans="1:9">
      <c r="A43" s="139" t="s">
        <v>905</v>
      </c>
      <c r="B43" s="128" t="s">
        <v>228</v>
      </c>
      <c r="C43" s="128">
        <v>1</v>
      </c>
      <c r="D43" s="121" t="s">
        <v>882</v>
      </c>
      <c r="E43" s="129">
        <v>30</v>
      </c>
      <c r="F43" s="134" t="s">
        <v>759</v>
      </c>
      <c r="H43" s="128">
        <v>1</v>
      </c>
      <c r="I43" s="44">
        <f t="shared" si="3"/>
        <v>30</v>
      </c>
    </row>
    <row r="44" spans="1:9">
      <c r="A44" s="139" t="s">
        <v>908</v>
      </c>
      <c r="B44" s="128" t="s">
        <v>171</v>
      </c>
      <c r="C44" s="128">
        <v>2</v>
      </c>
      <c r="D44" s="121" t="s">
        <v>882</v>
      </c>
      <c r="E44" s="129">
        <v>27</v>
      </c>
      <c r="F44" s="134" t="s">
        <v>759</v>
      </c>
      <c r="H44" s="128">
        <v>2</v>
      </c>
      <c r="I44" s="44">
        <f t="shared" si="3"/>
        <v>27</v>
      </c>
    </row>
    <row r="45" spans="1:9">
      <c r="A45" s="139" t="s">
        <v>911</v>
      </c>
      <c r="B45" s="128" t="s">
        <v>912</v>
      </c>
      <c r="C45" s="128">
        <v>1</v>
      </c>
      <c r="D45" s="121" t="s">
        <v>882</v>
      </c>
      <c r="E45" s="129">
        <v>21</v>
      </c>
      <c r="F45" s="134" t="s">
        <v>759</v>
      </c>
      <c r="H45" s="128">
        <v>1</v>
      </c>
      <c r="I45" s="44">
        <f t="shared" si="3"/>
        <v>21</v>
      </c>
    </row>
    <row r="46" spans="1:9">
      <c r="A46" s="139" t="s">
        <v>915</v>
      </c>
      <c r="B46" s="128" t="s">
        <v>916</v>
      </c>
      <c r="C46" s="128">
        <v>1</v>
      </c>
      <c r="D46" s="121" t="s">
        <v>882</v>
      </c>
      <c r="E46" s="163">
        <v>90</v>
      </c>
      <c r="F46" s="134" t="s">
        <v>759</v>
      </c>
      <c r="H46" s="128">
        <v>1</v>
      </c>
      <c r="I46" s="44">
        <f t="shared" si="3"/>
        <v>90</v>
      </c>
    </row>
    <row r="47" spans="1:9">
      <c r="A47" s="160" t="s">
        <v>181</v>
      </c>
      <c r="B47" s="128" t="s">
        <v>182</v>
      </c>
      <c r="C47" s="128">
        <v>2</v>
      </c>
      <c r="D47" s="121" t="s">
        <v>882</v>
      </c>
      <c r="E47" s="129">
        <v>22</v>
      </c>
      <c r="F47" s="134" t="s">
        <v>759</v>
      </c>
      <c r="H47" s="128">
        <v>2</v>
      </c>
      <c r="I47" s="44">
        <f t="shared" si="3"/>
        <v>22</v>
      </c>
    </row>
    <row r="48" spans="1:9">
      <c r="A48" s="119" t="s">
        <v>810</v>
      </c>
      <c r="B48" s="120" t="s">
        <v>59</v>
      </c>
      <c r="C48" s="112">
        <v>6</v>
      </c>
      <c r="D48" s="116" t="s">
        <v>882</v>
      </c>
      <c r="E48" s="123">
        <v>38.5</v>
      </c>
      <c r="F48" s="114" t="s">
        <v>759</v>
      </c>
      <c r="H48" s="112">
        <v>6</v>
      </c>
      <c r="I48" s="44">
        <f t="shared" si="3"/>
        <v>38.5</v>
      </c>
    </row>
    <row r="49" spans="1:9">
      <c r="A49" s="138" t="s">
        <v>749</v>
      </c>
      <c r="B49" s="110" t="s">
        <v>101</v>
      </c>
      <c r="C49" s="108">
        <v>9</v>
      </c>
      <c r="D49" s="121" t="s">
        <v>882</v>
      </c>
      <c r="E49" s="109">
        <v>16.5</v>
      </c>
      <c r="F49" s="111" t="s">
        <v>759</v>
      </c>
      <c r="H49" s="108">
        <v>0</v>
      </c>
      <c r="I49" s="44">
        <f t="shared" si="3"/>
        <v>16.5</v>
      </c>
    </row>
    <row r="50" spans="1:9">
      <c r="E50" s="5">
        <f>SUMPRODUCT(C12:C49,E12:E49)</f>
        <v>1854.5</v>
      </c>
      <c r="I50" s="5">
        <f>SUMPRODUCT(H12:H49,I12:I49)</f>
        <v>1553.2021276595744</v>
      </c>
    </row>
    <row r="52" spans="1:9">
      <c r="I52" s="209">
        <f>E50-I50</f>
        <v>301.29787234042556</v>
      </c>
    </row>
    <row r="53" spans="1:9" ht="18.75">
      <c r="A53" s="96" t="s">
        <v>1278</v>
      </c>
    </row>
    <row r="54" spans="1:9">
      <c r="A54" t="s">
        <v>1293</v>
      </c>
    </row>
    <row r="56" spans="1:9">
      <c r="B56" s="519" t="s">
        <v>1294</v>
      </c>
      <c r="C56" s="519"/>
      <c r="D56" s="519"/>
      <c r="F56" s="519" t="s">
        <v>1295</v>
      </c>
      <c r="G56" s="519"/>
      <c r="H56" s="519"/>
    </row>
    <row r="57" spans="1:9">
      <c r="A57" t="s">
        <v>1282</v>
      </c>
      <c r="B57" s="173" t="s">
        <v>1296</v>
      </c>
      <c r="C57" s="173">
        <v>0.95</v>
      </c>
      <c r="D57" s="191">
        <f>C57*1/C58</f>
        <v>0.6785714285714286</v>
      </c>
      <c r="F57" s="173" t="s">
        <v>1297</v>
      </c>
      <c r="G57" s="173">
        <v>0.75</v>
      </c>
      <c r="H57" s="191">
        <f>G57*1/G58</f>
        <v>0.625</v>
      </c>
    </row>
    <row r="58" spans="1:9">
      <c r="B58" s="173" t="s">
        <v>851</v>
      </c>
      <c r="C58" s="173">
        <v>1.4</v>
      </c>
      <c r="D58" s="173">
        <v>1</v>
      </c>
      <c r="F58" s="173" t="s">
        <v>830</v>
      </c>
      <c r="G58" s="173">
        <v>1.2</v>
      </c>
      <c r="H58" s="173">
        <v>1</v>
      </c>
    </row>
    <row r="60" spans="1:9" ht="30">
      <c r="H60" s="6" t="s">
        <v>1286</v>
      </c>
      <c r="I60" s="6" t="s">
        <v>1287</v>
      </c>
    </row>
    <row r="61" spans="1:9">
      <c r="A61" s="137" t="s">
        <v>840</v>
      </c>
      <c r="B61" s="128" t="s">
        <v>841</v>
      </c>
      <c r="C61" s="128">
        <v>1</v>
      </c>
      <c r="D61" s="128" t="s">
        <v>758</v>
      </c>
      <c r="E61" s="129">
        <v>1.2</v>
      </c>
      <c r="F61" s="158" t="s">
        <v>759</v>
      </c>
      <c r="H61" s="128">
        <v>1</v>
      </c>
      <c r="I61" s="16">
        <f t="shared" ref="I61:I73" si="4">+E61*$D$57</f>
        <v>0.81428571428571428</v>
      </c>
    </row>
    <row r="62" spans="1:9">
      <c r="A62" s="137" t="s">
        <v>842</v>
      </c>
      <c r="B62" s="128" t="s">
        <v>841</v>
      </c>
      <c r="C62" s="128">
        <v>1</v>
      </c>
      <c r="D62" s="128" t="s">
        <v>758</v>
      </c>
      <c r="E62" s="129">
        <v>1.2</v>
      </c>
      <c r="F62" s="158" t="s">
        <v>759</v>
      </c>
      <c r="H62" s="128">
        <v>1</v>
      </c>
      <c r="I62" s="16">
        <f t="shared" si="4"/>
        <v>0.81428571428571428</v>
      </c>
    </row>
    <row r="63" spans="1:9">
      <c r="A63" s="137" t="s">
        <v>843</v>
      </c>
      <c r="B63" s="128" t="s">
        <v>841</v>
      </c>
      <c r="C63" s="128">
        <v>1</v>
      </c>
      <c r="D63" s="128" t="s">
        <v>758</v>
      </c>
      <c r="E63" s="129">
        <v>1.2</v>
      </c>
      <c r="F63" s="158" t="s">
        <v>759</v>
      </c>
      <c r="H63" s="128">
        <v>1</v>
      </c>
      <c r="I63" s="16">
        <f t="shared" si="4"/>
        <v>0.81428571428571428</v>
      </c>
    </row>
    <row r="64" spans="1:9">
      <c r="A64" s="137" t="s">
        <v>844</v>
      </c>
      <c r="B64" s="128" t="s">
        <v>841</v>
      </c>
      <c r="C64" s="128">
        <v>1</v>
      </c>
      <c r="D64" s="128" t="s">
        <v>758</v>
      </c>
      <c r="E64" s="129">
        <v>1.3</v>
      </c>
      <c r="F64" s="158" t="s">
        <v>759</v>
      </c>
      <c r="H64" s="128">
        <v>1</v>
      </c>
      <c r="I64" s="16">
        <f t="shared" si="4"/>
        <v>0.88214285714285723</v>
      </c>
    </row>
    <row r="65" spans="1:9">
      <c r="A65" s="137" t="s">
        <v>845</v>
      </c>
      <c r="B65" s="128" t="s">
        <v>841</v>
      </c>
      <c r="C65" s="128">
        <v>1</v>
      </c>
      <c r="D65" s="128" t="s">
        <v>758</v>
      </c>
      <c r="E65" s="129">
        <v>1.3</v>
      </c>
      <c r="F65" s="158" t="s">
        <v>759</v>
      </c>
      <c r="H65" s="128">
        <v>1</v>
      </c>
      <c r="I65" s="16">
        <f t="shared" si="4"/>
        <v>0.88214285714285723</v>
      </c>
    </row>
    <row r="66" spans="1:9">
      <c r="A66" s="137" t="s">
        <v>846</v>
      </c>
      <c r="B66" s="128" t="s">
        <v>841</v>
      </c>
      <c r="C66" s="128">
        <v>1</v>
      </c>
      <c r="D66" s="128" t="s">
        <v>758</v>
      </c>
      <c r="E66" s="129">
        <v>1.3</v>
      </c>
      <c r="F66" s="158" t="s">
        <v>759</v>
      </c>
      <c r="H66" s="128">
        <v>1</v>
      </c>
      <c r="I66" s="16">
        <f t="shared" si="4"/>
        <v>0.88214285714285723</v>
      </c>
    </row>
    <row r="67" spans="1:9">
      <c r="A67" s="137" t="s">
        <v>847</v>
      </c>
      <c r="B67" s="128" t="s">
        <v>841</v>
      </c>
      <c r="C67" s="128">
        <v>1</v>
      </c>
      <c r="D67" s="128" t="s">
        <v>758</v>
      </c>
      <c r="E67" s="129">
        <v>1.4</v>
      </c>
      <c r="F67" s="158" t="s">
        <v>759</v>
      </c>
      <c r="H67" s="128">
        <v>1</v>
      </c>
      <c r="I67" s="16">
        <f t="shared" si="4"/>
        <v>0.95</v>
      </c>
    </row>
    <row r="68" spans="1:9">
      <c r="A68" s="137" t="s">
        <v>848</v>
      </c>
      <c r="B68" s="128" t="s">
        <v>841</v>
      </c>
      <c r="C68" s="128">
        <v>2</v>
      </c>
      <c r="D68" s="128" t="s">
        <v>758</v>
      </c>
      <c r="E68" s="129">
        <v>1.2</v>
      </c>
      <c r="F68" s="158" t="s">
        <v>759</v>
      </c>
      <c r="H68" s="128">
        <v>2</v>
      </c>
      <c r="I68" s="16">
        <f t="shared" si="4"/>
        <v>0.81428571428571428</v>
      </c>
    </row>
    <row r="69" spans="1:9">
      <c r="A69" s="137" t="s">
        <v>849</v>
      </c>
      <c r="B69" s="128" t="s">
        <v>841</v>
      </c>
      <c r="C69" s="128">
        <v>1</v>
      </c>
      <c r="D69" s="128" t="s">
        <v>758</v>
      </c>
      <c r="E69" s="129">
        <v>1.4</v>
      </c>
      <c r="F69" s="158" t="s">
        <v>759</v>
      </c>
      <c r="H69" s="128">
        <v>1</v>
      </c>
      <c r="I69" s="16">
        <f t="shared" si="4"/>
        <v>0.95</v>
      </c>
    </row>
    <row r="70" spans="1:9">
      <c r="A70" s="137" t="s">
        <v>850</v>
      </c>
      <c r="B70" s="128" t="s">
        <v>841</v>
      </c>
      <c r="C70" s="128">
        <v>2</v>
      </c>
      <c r="D70" s="128" t="s">
        <v>758</v>
      </c>
      <c r="E70" s="129">
        <v>1.2</v>
      </c>
      <c r="F70" s="158" t="s">
        <v>759</v>
      </c>
      <c r="H70" s="128">
        <v>2</v>
      </c>
      <c r="I70" s="16">
        <f t="shared" si="4"/>
        <v>0.81428571428571428</v>
      </c>
    </row>
    <row r="71" spans="1:9">
      <c r="A71" s="137" t="s">
        <v>851</v>
      </c>
      <c r="B71" s="128" t="s">
        <v>841</v>
      </c>
      <c r="C71" s="128">
        <v>1</v>
      </c>
      <c r="D71" s="128" t="s">
        <v>758</v>
      </c>
      <c r="E71" s="129">
        <v>1.4</v>
      </c>
      <c r="F71" s="158" t="s">
        <v>759</v>
      </c>
      <c r="H71" s="128">
        <v>1</v>
      </c>
      <c r="I71" s="16">
        <f t="shared" si="4"/>
        <v>0.95</v>
      </c>
    </row>
    <row r="72" spans="1:9">
      <c r="A72" s="137" t="s">
        <v>852</v>
      </c>
      <c r="B72" s="128" t="s">
        <v>841</v>
      </c>
      <c r="C72" s="128">
        <v>1</v>
      </c>
      <c r="D72" s="128" t="s">
        <v>758</v>
      </c>
      <c r="E72" s="129">
        <v>1.3</v>
      </c>
      <c r="F72" s="158" t="s">
        <v>759</v>
      </c>
      <c r="H72" s="128">
        <v>1</v>
      </c>
      <c r="I72" s="16">
        <f t="shared" si="4"/>
        <v>0.88214285714285723</v>
      </c>
    </row>
    <row r="73" spans="1:9">
      <c r="A73" s="139" t="s">
        <v>829</v>
      </c>
      <c r="B73" s="128" t="s">
        <v>275</v>
      </c>
      <c r="C73" s="128">
        <v>7</v>
      </c>
      <c r="D73" s="128" t="s">
        <v>758</v>
      </c>
      <c r="E73" s="129">
        <v>1.4</v>
      </c>
      <c r="F73" s="158" t="s">
        <v>759</v>
      </c>
      <c r="H73" s="128">
        <v>7</v>
      </c>
      <c r="I73" s="16">
        <f t="shared" si="4"/>
        <v>0.95</v>
      </c>
    </row>
    <row r="74" spans="1:9">
      <c r="A74" s="161" t="s">
        <v>830</v>
      </c>
      <c r="B74" s="140" t="s">
        <v>281</v>
      </c>
      <c r="C74" s="140">
        <v>7</v>
      </c>
      <c r="D74" s="140" t="s">
        <v>758</v>
      </c>
      <c r="E74" s="159">
        <v>1.2</v>
      </c>
      <c r="F74" s="162" t="s">
        <v>759</v>
      </c>
      <c r="H74" s="128">
        <v>7</v>
      </c>
      <c r="I74">
        <v>0.75</v>
      </c>
    </row>
    <row r="75" spans="1:9">
      <c r="A75" s="139" t="s">
        <v>829</v>
      </c>
      <c r="B75" s="128" t="s">
        <v>275</v>
      </c>
      <c r="C75" s="128">
        <v>7</v>
      </c>
      <c r="D75" s="121" t="s">
        <v>882</v>
      </c>
      <c r="E75" s="129">
        <v>1.4</v>
      </c>
      <c r="F75" s="158" t="s">
        <v>759</v>
      </c>
      <c r="H75" s="128">
        <v>7</v>
      </c>
      <c r="I75" s="44">
        <f>E75*$D$57</f>
        <v>0.95</v>
      </c>
    </row>
    <row r="76" spans="1:9">
      <c r="A76" s="161" t="s">
        <v>830</v>
      </c>
      <c r="B76" s="140" t="s">
        <v>281</v>
      </c>
      <c r="C76" s="140">
        <v>7</v>
      </c>
      <c r="D76" s="121" t="s">
        <v>882</v>
      </c>
      <c r="E76" s="159">
        <v>1.2</v>
      </c>
      <c r="F76" s="162" t="s">
        <v>759</v>
      </c>
      <c r="H76" s="140">
        <v>7</v>
      </c>
      <c r="I76" s="204">
        <v>0.75</v>
      </c>
    </row>
    <row r="77" spans="1:9">
      <c r="A77" s="137" t="s">
        <v>931</v>
      </c>
      <c r="B77" s="128" t="s">
        <v>932</v>
      </c>
      <c r="C77" s="128">
        <v>2</v>
      </c>
      <c r="D77" s="121" t="s">
        <v>882</v>
      </c>
      <c r="E77" s="129">
        <v>1.2</v>
      </c>
      <c r="F77" s="158" t="s">
        <v>759</v>
      </c>
      <c r="H77" s="128">
        <v>2</v>
      </c>
      <c r="I77" s="44">
        <f t="shared" ref="I77:I79" si="5">E77*$D$57</f>
        <v>0.81428571428571428</v>
      </c>
    </row>
    <row r="78" spans="1:9">
      <c r="A78" s="137" t="s">
        <v>933</v>
      </c>
      <c r="B78" s="128" t="s">
        <v>934</v>
      </c>
      <c r="C78" s="128">
        <v>1</v>
      </c>
      <c r="D78" s="121" t="s">
        <v>882</v>
      </c>
      <c r="E78" s="129">
        <v>1.2</v>
      </c>
      <c r="F78" s="158" t="s">
        <v>759</v>
      </c>
      <c r="H78" s="128">
        <v>1</v>
      </c>
      <c r="I78" s="44">
        <f t="shared" si="5"/>
        <v>0.81428571428571428</v>
      </c>
    </row>
    <row r="79" spans="1:9">
      <c r="A79" s="137" t="s">
        <v>935</v>
      </c>
      <c r="B79" s="128" t="s">
        <v>936</v>
      </c>
      <c r="C79" s="128">
        <v>1</v>
      </c>
      <c r="D79" s="121" t="s">
        <v>882</v>
      </c>
      <c r="E79" s="129">
        <v>1.4</v>
      </c>
      <c r="F79" s="158" t="s">
        <v>759</v>
      </c>
      <c r="H79" s="128">
        <v>1</v>
      </c>
      <c r="I79" s="44">
        <f t="shared" si="5"/>
        <v>0.95</v>
      </c>
    </row>
    <row r="80" spans="1:9">
      <c r="E80" s="5">
        <f>SUMPRODUCT(C61:C79,E61:E79)</f>
        <v>59.199999999999996</v>
      </c>
      <c r="F80" s="5"/>
      <c r="G80" s="5"/>
      <c r="H80" s="5"/>
      <c r="I80" s="5">
        <f>SUMPRODUCT(H61:H79,I61:I79)</f>
        <v>39.271428571428572</v>
      </c>
    </row>
    <row r="81" spans="1:9">
      <c r="E81" s="5"/>
      <c r="F81" s="5"/>
      <c r="G81" s="5"/>
      <c r="H81" s="5"/>
      <c r="I81" s="5"/>
    </row>
    <row r="82" spans="1:9">
      <c r="E82" s="5"/>
      <c r="F82" s="5"/>
      <c r="G82" s="5"/>
      <c r="H82" s="5"/>
      <c r="I82" s="209">
        <f>E80-I80</f>
        <v>19.928571428571423</v>
      </c>
    </row>
    <row r="83" spans="1:9">
      <c r="E83" s="5"/>
      <c r="F83" s="5"/>
      <c r="G83" s="5"/>
      <c r="H83" s="5"/>
      <c r="I83" s="5"/>
    </row>
    <row r="84" spans="1:9" ht="18.75">
      <c r="A84" s="96" t="s">
        <v>1278</v>
      </c>
      <c r="E84" s="5"/>
      <c r="F84" s="5"/>
      <c r="G84" s="5"/>
      <c r="H84" s="5"/>
      <c r="I84" s="5"/>
    </row>
    <row r="85" spans="1:9">
      <c r="A85" t="s">
        <v>1298</v>
      </c>
      <c r="D85" t="s">
        <v>1299</v>
      </c>
      <c r="E85" s="5"/>
      <c r="F85" s="5"/>
      <c r="G85" s="5"/>
      <c r="H85" s="5"/>
      <c r="I85" s="5"/>
    </row>
    <row r="86" spans="1:9" ht="30">
      <c r="E86" s="5"/>
      <c r="F86" s="5"/>
      <c r="G86" s="5"/>
      <c r="H86" s="6" t="s">
        <v>1286</v>
      </c>
      <c r="I86" s="6" t="s">
        <v>1287</v>
      </c>
    </row>
    <row r="87" spans="1:9">
      <c r="A87" s="136" t="s">
        <v>821</v>
      </c>
      <c r="B87" s="120" t="s">
        <v>822</v>
      </c>
      <c r="C87" s="112">
        <v>1</v>
      </c>
      <c r="D87" s="120" t="s">
        <v>758</v>
      </c>
      <c r="E87" s="130">
        <v>16.5</v>
      </c>
      <c r="F87" s="131" t="s">
        <v>759</v>
      </c>
      <c r="H87" s="112">
        <v>1</v>
      </c>
      <c r="I87" s="44">
        <f>E87-0.4</f>
        <v>16.100000000000001</v>
      </c>
    </row>
    <row r="88" spans="1:9">
      <c r="A88" s="139" t="s">
        <v>823</v>
      </c>
      <c r="B88" s="140" t="s">
        <v>822</v>
      </c>
      <c r="C88" s="141">
        <v>1</v>
      </c>
      <c r="D88" s="121" t="s">
        <v>758</v>
      </c>
      <c r="E88" s="129">
        <v>16.5</v>
      </c>
      <c r="F88" s="134" t="s">
        <v>759</v>
      </c>
      <c r="H88" s="141">
        <v>1</v>
      </c>
      <c r="I88" s="44">
        <f t="shared" ref="I88:I109" si="6">E88-0.4</f>
        <v>16.100000000000001</v>
      </c>
    </row>
    <row r="89" spans="1:9">
      <c r="A89" s="139" t="s">
        <v>824</v>
      </c>
      <c r="B89" s="140" t="s">
        <v>822</v>
      </c>
      <c r="C89" s="128">
        <v>1</v>
      </c>
      <c r="D89" s="121" t="s">
        <v>758</v>
      </c>
      <c r="E89" s="129">
        <v>16.5</v>
      </c>
      <c r="F89" s="134" t="s">
        <v>759</v>
      </c>
      <c r="H89" s="128">
        <v>1</v>
      </c>
      <c r="I89" s="44">
        <f t="shared" si="6"/>
        <v>16.100000000000001</v>
      </c>
    </row>
    <row r="90" spans="1:9">
      <c r="A90" s="139" t="s">
        <v>825</v>
      </c>
      <c r="B90" s="140" t="s">
        <v>822</v>
      </c>
      <c r="C90" s="128">
        <v>1</v>
      </c>
      <c r="D90" s="121" t="s">
        <v>758</v>
      </c>
      <c r="E90" s="129">
        <v>16.5</v>
      </c>
      <c r="F90" s="126" t="s">
        <v>759</v>
      </c>
      <c r="H90" s="128">
        <v>1</v>
      </c>
      <c r="I90" s="44">
        <f t="shared" si="6"/>
        <v>16.100000000000001</v>
      </c>
    </row>
    <row r="91" spans="1:9">
      <c r="A91" s="139" t="s">
        <v>826</v>
      </c>
      <c r="B91" s="140" t="s">
        <v>822</v>
      </c>
      <c r="C91" s="128">
        <v>1</v>
      </c>
      <c r="D91" s="121" t="s">
        <v>758</v>
      </c>
      <c r="E91" s="129">
        <v>16.5</v>
      </c>
      <c r="F91" s="126" t="s">
        <v>759</v>
      </c>
      <c r="H91" s="128">
        <v>1</v>
      </c>
      <c r="I91" s="44">
        <f t="shared" si="6"/>
        <v>16.100000000000001</v>
      </c>
    </row>
    <row r="92" spans="1:9">
      <c r="A92" s="139" t="s">
        <v>827</v>
      </c>
      <c r="B92" s="140" t="s">
        <v>822</v>
      </c>
      <c r="C92" s="110">
        <v>1</v>
      </c>
      <c r="D92" s="110" t="s">
        <v>758</v>
      </c>
      <c r="E92" s="159">
        <v>16.5</v>
      </c>
      <c r="F92" s="126" t="s">
        <v>759</v>
      </c>
      <c r="H92" s="110">
        <v>1</v>
      </c>
      <c r="I92" s="44">
        <f t="shared" si="6"/>
        <v>16.100000000000001</v>
      </c>
    </row>
    <row r="93" spans="1:9">
      <c r="A93" s="139" t="s">
        <v>828</v>
      </c>
      <c r="B93" s="140" t="s">
        <v>822</v>
      </c>
      <c r="C93" s="141">
        <v>1</v>
      </c>
      <c r="D93" s="110" t="s">
        <v>758</v>
      </c>
      <c r="E93" s="129">
        <v>16.5</v>
      </c>
      <c r="F93" s="126" t="s">
        <v>759</v>
      </c>
      <c r="H93" s="141">
        <v>1</v>
      </c>
      <c r="I93" s="44">
        <f t="shared" si="6"/>
        <v>16.100000000000001</v>
      </c>
    </row>
    <row r="94" spans="1:9">
      <c r="A94" s="137" t="s">
        <v>833</v>
      </c>
      <c r="B94" s="128" t="s">
        <v>834</v>
      </c>
      <c r="C94" s="128">
        <v>2</v>
      </c>
      <c r="D94" s="128" t="s">
        <v>758</v>
      </c>
      <c r="E94" s="129">
        <v>9.4</v>
      </c>
      <c r="F94" s="158" t="s">
        <v>759</v>
      </c>
      <c r="H94" s="128">
        <v>2</v>
      </c>
      <c r="I94" s="44">
        <f t="shared" si="6"/>
        <v>9</v>
      </c>
    </row>
    <row r="95" spans="1:9">
      <c r="A95" s="137" t="s">
        <v>835</v>
      </c>
      <c r="B95" s="128" t="s">
        <v>834</v>
      </c>
      <c r="C95" s="128">
        <v>1</v>
      </c>
      <c r="D95" s="128" t="s">
        <v>758</v>
      </c>
      <c r="E95" s="129">
        <v>9.4</v>
      </c>
      <c r="F95" s="158" t="s">
        <v>759</v>
      </c>
      <c r="H95" s="128">
        <v>1</v>
      </c>
      <c r="I95" s="44">
        <f t="shared" si="6"/>
        <v>9</v>
      </c>
    </row>
    <row r="96" spans="1:9">
      <c r="A96" s="137" t="s">
        <v>836</v>
      </c>
      <c r="B96" s="128" t="s">
        <v>834</v>
      </c>
      <c r="C96" s="128">
        <v>2</v>
      </c>
      <c r="D96" s="128" t="s">
        <v>758</v>
      </c>
      <c r="E96" s="129">
        <v>9.4</v>
      </c>
      <c r="F96" s="158" t="s">
        <v>759</v>
      </c>
      <c r="H96" s="128">
        <v>2</v>
      </c>
      <c r="I96" s="44">
        <f t="shared" si="6"/>
        <v>9</v>
      </c>
    </row>
    <row r="97" spans="1:9">
      <c r="A97" s="137" t="s">
        <v>837</v>
      </c>
      <c r="B97" s="128" t="s">
        <v>834</v>
      </c>
      <c r="C97" s="128">
        <v>1</v>
      </c>
      <c r="D97" s="128" t="s">
        <v>758</v>
      </c>
      <c r="E97" s="129">
        <v>9.4</v>
      </c>
      <c r="F97" s="158" t="s">
        <v>759</v>
      </c>
      <c r="H97" s="128">
        <v>1</v>
      </c>
      <c r="I97" s="44">
        <f t="shared" si="6"/>
        <v>9</v>
      </c>
    </row>
    <row r="98" spans="1:9">
      <c r="A98" s="137" t="s">
        <v>838</v>
      </c>
      <c r="B98" s="128" t="s">
        <v>834</v>
      </c>
      <c r="C98" s="128">
        <v>1</v>
      </c>
      <c r="D98" s="128" t="s">
        <v>758</v>
      </c>
      <c r="E98" s="129">
        <v>9.4</v>
      </c>
      <c r="F98" s="158" t="s">
        <v>759</v>
      </c>
      <c r="H98" s="128">
        <v>1</v>
      </c>
      <c r="I98" s="44">
        <f t="shared" si="6"/>
        <v>9</v>
      </c>
    </row>
    <row r="99" spans="1:9">
      <c r="A99" s="137" t="s">
        <v>839</v>
      </c>
      <c r="B99" s="128" t="s">
        <v>834</v>
      </c>
      <c r="C99" s="128">
        <v>1</v>
      </c>
      <c r="D99" s="128" t="s">
        <v>758</v>
      </c>
      <c r="E99" s="129">
        <v>9.4</v>
      </c>
      <c r="F99" s="158" t="s">
        <v>759</v>
      </c>
      <c r="H99" s="128">
        <v>1</v>
      </c>
      <c r="I99" s="44">
        <f t="shared" si="6"/>
        <v>9</v>
      </c>
    </row>
    <row r="100" spans="1:9">
      <c r="A100" s="136" t="s">
        <v>921</v>
      </c>
      <c r="B100" s="120" t="s">
        <v>214</v>
      </c>
      <c r="C100" s="112">
        <v>1</v>
      </c>
      <c r="D100" s="120" t="s">
        <v>882</v>
      </c>
      <c r="E100" s="130">
        <v>16.100000000000001</v>
      </c>
      <c r="F100" s="131" t="s">
        <v>759</v>
      </c>
      <c r="H100" s="112">
        <v>1</v>
      </c>
      <c r="I100" s="44">
        <f t="shared" si="6"/>
        <v>15.700000000000001</v>
      </c>
    </row>
    <row r="101" spans="1:9">
      <c r="A101" s="139" t="s">
        <v>922</v>
      </c>
      <c r="B101" s="140" t="s">
        <v>299</v>
      </c>
      <c r="C101" s="141">
        <v>1</v>
      </c>
      <c r="D101" s="121" t="s">
        <v>882</v>
      </c>
      <c r="E101" s="129">
        <v>16.399999999999999</v>
      </c>
      <c r="F101" s="134" t="s">
        <v>759</v>
      </c>
      <c r="H101" s="141">
        <v>1</v>
      </c>
      <c r="I101" s="44">
        <f t="shared" si="6"/>
        <v>15.999999999999998</v>
      </c>
    </row>
    <row r="102" spans="1:9">
      <c r="A102" s="139" t="s">
        <v>923</v>
      </c>
      <c r="B102" s="140" t="s">
        <v>297</v>
      </c>
      <c r="C102" s="128">
        <v>1</v>
      </c>
      <c r="D102" s="121" t="s">
        <v>882</v>
      </c>
      <c r="E102" s="129">
        <v>16.5</v>
      </c>
      <c r="F102" s="134" t="s">
        <v>759</v>
      </c>
      <c r="H102" s="128">
        <v>1</v>
      </c>
      <c r="I102" s="44">
        <f t="shared" si="6"/>
        <v>16.100000000000001</v>
      </c>
    </row>
    <row r="103" spans="1:9">
      <c r="A103" s="139" t="s">
        <v>924</v>
      </c>
      <c r="B103" s="140" t="s">
        <v>301</v>
      </c>
      <c r="C103" s="128">
        <v>1</v>
      </c>
      <c r="D103" s="121" t="s">
        <v>882</v>
      </c>
      <c r="E103" s="129">
        <v>16.399999999999999</v>
      </c>
      <c r="F103" s="126" t="s">
        <v>759</v>
      </c>
      <c r="H103" s="128">
        <v>1</v>
      </c>
      <c r="I103" s="44">
        <f t="shared" si="6"/>
        <v>15.999999999999998</v>
      </c>
    </row>
    <row r="104" spans="1:9">
      <c r="A104" s="139" t="s">
        <v>925</v>
      </c>
      <c r="B104" s="140" t="s">
        <v>303</v>
      </c>
      <c r="C104" s="128">
        <v>1</v>
      </c>
      <c r="D104" s="121" t="s">
        <v>882</v>
      </c>
      <c r="E104" s="129">
        <v>16.399999999999999</v>
      </c>
      <c r="F104" s="126" t="s">
        <v>759</v>
      </c>
      <c r="H104" s="128">
        <v>1</v>
      </c>
      <c r="I104" s="44">
        <f t="shared" si="6"/>
        <v>15.999999999999998</v>
      </c>
    </row>
    <row r="105" spans="1:9">
      <c r="A105" s="139" t="s">
        <v>926</v>
      </c>
      <c r="B105" s="140" t="s">
        <v>305</v>
      </c>
      <c r="C105" s="110">
        <v>1</v>
      </c>
      <c r="D105" s="121" t="s">
        <v>882</v>
      </c>
      <c r="E105" s="159">
        <v>16.399999999999999</v>
      </c>
      <c r="F105" s="126" t="s">
        <v>759</v>
      </c>
      <c r="H105" s="110">
        <v>1</v>
      </c>
      <c r="I105" s="44">
        <f t="shared" si="6"/>
        <v>15.999999999999998</v>
      </c>
    </row>
    <row r="106" spans="1:9">
      <c r="A106" s="137" t="s">
        <v>927</v>
      </c>
      <c r="B106" s="128" t="s">
        <v>332</v>
      </c>
      <c r="C106" s="128">
        <v>1</v>
      </c>
      <c r="D106" s="121" t="s">
        <v>882</v>
      </c>
      <c r="E106" s="129">
        <v>9</v>
      </c>
      <c r="F106" s="158" t="s">
        <v>759</v>
      </c>
      <c r="H106" s="128">
        <v>1</v>
      </c>
      <c r="I106" s="44">
        <f t="shared" si="6"/>
        <v>8.6</v>
      </c>
    </row>
    <row r="107" spans="1:9">
      <c r="A107" s="137" t="s">
        <v>928</v>
      </c>
      <c r="B107" s="128" t="s">
        <v>334</v>
      </c>
      <c r="C107" s="128">
        <v>1</v>
      </c>
      <c r="D107" s="121" t="s">
        <v>882</v>
      </c>
      <c r="E107" s="129">
        <v>9</v>
      </c>
      <c r="F107" s="158" t="s">
        <v>759</v>
      </c>
      <c r="H107" s="128">
        <v>1</v>
      </c>
      <c r="I107" s="44">
        <f t="shared" si="6"/>
        <v>8.6</v>
      </c>
    </row>
    <row r="108" spans="1:9">
      <c r="A108" s="137" t="s">
        <v>929</v>
      </c>
      <c r="B108" s="128" t="s">
        <v>279</v>
      </c>
      <c r="C108" s="128">
        <v>2</v>
      </c>
      <c r="D108" s="121" t="s">
        <v>882</v>
      </c>
      <c r="E108" s="129">
        <v>9.3000000000000007</v>
      </c>
      <c r="F108" s="158" t="s">
        <v>759</v>
      </c>
      <c r="H108" s="128">
        <v>2</v>
      </c>
      <c r="I108" s="44">
        <f t="shared" si="6"/>
        <v>8.9</v>
      </c>
    </row>
    <row r="109" spans="1:9">
      <c r="A109" s="137" t="s">
        <v>930</v>
      </c>
      <c r="B109" s="128" t="s">
        <v>327</v>
      </c>
      <c r="C109" s="128">
        <v>1</v>
      </c>
      <c r="D109" s="121" t="s">
        <v>882</v>
      </c>
      <c r="E109" s="129">
        <v>9.4</v>
      </c>
      <c r="F109" s="158" t="s">
        <v>759</v>
      </c>
      <c r="H109" s="128">
        <v>1</v>
      </c>
      <c r="I109" s="44">
        <f t="shared" si="6"/>
        <v>9</v>
      </c>
    </row>
    <row r="110" spans="1:9">
      <c r="E110">
        <f>SUMPRODUCT(C87:C109,E87:E109)</f>
        <v>334.9</v>
      </c>
      <c r="I110">
        <f>SUMPRODUCT(H87:H109,I87:I109)</f>
        <v>324.5</v>
      </c>
    </row>
    <row r="112" spans="1:9">
      <c r="I112" s="210">
        <f>E110-I110</f>
        <v>10.399999999999977</v>
      </c>
    </row>
  </sheetData>
  <mergeCells count="5">
    <mergeCell ref="B56:D56"/>
    <mergeCell ref="F56:H56"/>
    <mergeCell ref="B6:D6"/>
    <mergeCell ref="F7:F8"/>
    <mergeCell ref="M11:N1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A66EC-FB61-42C5-AE91-64642C9516F7}">
  <dimension ref="A1:C62"/>
  <sheetViews>
    <sheetView workbookViewId="0">
      <selection activeCell="A24" sqref="A24:A62"/>
    </sheetView>
  </sheetViews>
  <sheetFormatPr defaultColWidth="9.140625" defaultRowHeight="15"/>
  <cols>
    <col min="1" max="1" width="36.5703125" bestFit="1" customWidth="1"/>
    <col min="2" max="2" width="10.85546875" bestFit="1" customWidth="1"/>
    <col min="3" max="3" width="37.28515625" customWidth="1"/>
  </cols>
  <sheetData>
    <row r="1" spans="1:3">
      <c r="A1" s="147" t="s">
        <v>1300</v>
      </c>
      <c r="B1" s="147" t="s">
        <v>1301</v>
      </c>
      <c r="C1" s="155" t="s">
        <v>1302</v>
      </c>
    </row>
    <row r="2" spans="1:3">
      <c r="A2" s="147" t="s">
        <v>1303</v>
      </c>
      <c r="B2" s="147" t="s">
        <v>1304</v>
      </c>
    </row>
    <row r="3" spans="1:3">
      <c r="A3" s="147" t="s">
        <v>1305</v>
      </c>
      <c r="B3" s="147"/>
      <c r="C3" s="147"/>
    </row>
    <row r="4" spans="1:3">
      <c r="A4" s="147"/>
      <c r="B4" s="147"/>
      <c r="C4" s="147"/>
    </row>
    <row r="5" spans="1:3">
      <c r="A5" s="147"/>
      <c r="B5" s="147"/>
      <c r="C5" s="147"/>
    </row>
    <row r="6" spans="1:3">
      <c r="A6" s="148" t="s">
        <v>1306</v>
      </c>
      <c r="B6" s="147" t="s">
        <v>1307</v>
      </c>
      <c r="C6" s="147"/>
    </row>
    <row r="7" spans="1:3">
      <c r="A7" s="147" t="s">
        <v>1308</v>
      </c>
      <c r="B7" s="147"/>
      <c r="C7" s="147"/>
    </row>
    <row r="8" spans="1:3">
      <c r="A8" s="147" t="s">
        <v>1309</v>
      </c>
      <c r="B8" s="149">
        <v>23.6</v>
      </c>
      <c r="C8" s="150" t="s">
        <v>1310</v>
      </c>
    </row>
    <row r="9" spans="1:3">
      <c r="A9" s="147" t="s">
        <v>1311</v>
      </c>
      <c r="B9" s="149">
        <v>24.64</v>
      </c>
      <c r="C9" s="150" t="s">
        <v>1312</v>
      </c>
    </row>
    <row r="10" spans="1:3">
      <c r="A10" s="147"/>
      <c r="B10" s="147"/>
      <c r="C10" s="151"/>
    </row>
    <row r="11" spans="1:3">
      <c r="A11" s="148" t="s">
        <v>1313</v>
      </c>
      <c r="B11" s="147"/>
      <c r="C11" s="147"/>
    </row>
    <row r="12" spans="1:3">
      <c r="A12" s="147" t="s">
        <v>1314</v>
      </c>
      <c r="B12" s="147"/>
      <c r="C12" s="147"/>
    </row>
    <row r="13" spans="1:3">
      <c r="A13" s="147" t="s">
        <v>1315</v>
      </c>
      <c r="B13" s="149">
        <f>24.83*0.45</f>
        <v>11.173499999999999</v>
      </c>
      <c r="C13" s="150" t="s">
        <v>1316</v>
      </c>
    </row>
    <row r="14" spans="1:3">
      <c r="A14" s="147"/>
      <c r="B14" s="147"/>
      <c r="C14" s="147"/>
    </row>
    <row r="15" spans="1:3">
      <c r="A15" s="148" t="s">
        <v>1317</v>
      </c>
      <c r="B15" s="147"/>
      <c r="C15" s="147"/>
    </row>
    <row r="16" spans="1:3">
      <c r="A16" s="147" t="s">
        <v>1314</v>
      </c>
      <c r="B16" s="147"/>
      <c r="C16" s="147"/>
    </row>
    <row r="17" spans="1:3">
      <c r="A17" s="147" t="s">
        <v>1318</v>
      </c>
      <c r="B17" s="149">
        <v>14.6</v>
      </c>
      <c r="C17" s="150" t="s">
        <v>1319</v>
      </c>
    </row>
    <row r="18" spans="1:3">
      <c r="A18" s="147"/>
      <c r="B18" s="147"/>
      <c r="C18" s="147"/>
    </row>
    <row r="19" spans="1:3">
      <c r="A19" s="148" t="s">
        <v>1198</v>
      </c>
      <c r="B19" s="147"/>
      <c r="C19" s="147"/>
    </row>
    <row r="20" spans="1:3">
      <c r="A20" s="147" t="s">
        <v>1314</v>
      </c>
      <c r="B20" s="147"/>
      <c r="C20" s="147"/>
    </row>
    <row r="21" spans="1:3">
      <c r="A21" s="147" t="s">
        <v>1320</v>
      </c>
      <c r="B21" s="149">
        <v>8.34</v>
      </c>
      <c r="C21" s="150" t="s">
        <v>1321</v>
      </c>
    </row>
    <row r="24" spans="1:3" ht="30">
      <c r="A24" s="234" t="s">
        <v>1230</v>
      </c>
    </row>
    <row r="25" spans="1:3">
      <c r="A25" s="82" t="s">
        <v>1231</v>
      </c>
      <c r="B25" s="6"/>
    </row>
    <row r="26" spans="1:3">
      <c r="A26" s="82" t="s">
        <v>1101</v>
      </c>
      <c r="B26" s="6"/>
    </row>
    <row r="27" spans="1:3" ht="45">
      <c r="A27" s="82" t="s">
        <v>1232</v>
      </c>
      <c r="B27" s="6"/>
    </row>
    <row r="28" spans="1:3" ht="30">
      <c r="A28" s="82" t="s">
        <v>1233</v>
      </c>
      <c r="B28" s="6"/>
    </row>
    <row r="29" spans="1:3" ht="45">
      <c r="A29" s="82" t="s">
        <v>1234</v>
      </c>
      <c r="B29" s="6"/>
    </row>
    <row r="30" spans="1:3">
      <c r="A30" s="82" t="s">
        <v>1101</v>
      </c>
      <c r="B30" s="6"/>
    </row>
    <row r="31" spans="1:3">
      <c r="A31" s="233" t="s">
        <v>1235</v>
      </c>
      <c r="B31" s="6"/>
    </row>
    <row r="32" spans="1:3">
      <c r="A32" s="233" t="s">
        <v>1236</v>
      </c>
      <c r="B32" s="6"/>
    </row>
    <row r="33" spans="1:2">
      <c r="A33" s="82" t="s">
        <v>1237</v>
      </c>
    </row>
    <row r="34" spans="1:2">
      <c r="A34" s="82" t="s">
        <v>1238</v>
      </c>
    </row>
    <row r="35" spans="1:2">
      <c r="A35" s="82" t="s">
        <v>1239</v>
      </c>
    </row>
    <row r="36" spans="1:2" ht="30">
      <c r="A36" s="82" t="s">
        <v>1240</v>
      </c>
    </row>
    <row r="37" spans="1:2">
      <c r="A37" s="82" t="s">
        <v>1101</v>
      </c>
      <c r="B37" s="6"/>
    </row>
    <row r="38" spans="1:2">
      <c r="A38" s="82" t="s">
        <v>1101</v>
      </c>
      <c r="B38" s="6"/>
    </row>
    <row r="39" spans="1:2" ht="30">
      <c r="A39" s="82" t="s">
        <v>1241</v>
      </c>
      <c r="B39" s="6"/>
    </row>
    <row r="40" spans="1:2" ht="30">
      <c r="A40" s="82" t="s">
        <v>1242</v>
      </c>
      <c r="B40" s="6"/>
    </row>
    <row r="41" spans="1:2">
      <c r="A41" s="82" t="s">
        <v>1243</v>
      </c>
      <c r="B41" s="6"/>
    </row>
    <row r="42" spans="1:2" ht="30">
      <c r="A42" s="82" t="s">
        <v>1244</v>
      </c>
      <c r="B42" s="6"/>
    </row>
    <row r="43" spans="1:2" ht="30">
      <c r="A43" s="82" t="s">
        <v>1245</v>
      </c>
      <c r="B43" s="6"/>
    </row>
    <row r="46" spans="1:2" ht="15.75">
      <c r="A46" s="206" t="s">
        <v>1246</v>
      </c>
    </row>
    <row r="47" spans="1:2">
      <c r="A47" s="208" t="s">
        <v>1247</v>
      </c>
    </row>
    <row r="48" spans="1:2">
      <c r="A48" s="205" t="s">
        <v>1101</v>
      </c>
    </row>
    <row r="49" spans="1:1">
      <c r="A49" s="207" t="s">
        <v>1248</v>
      </c>
    </row>
    <row r="51" spans="1:1">
      <c r="A51" s="207" t="s">
        <v>1249</v>
      </c>
    </row>
    <row r="52" spans="1:1">
      <c r="A52" s="207" t="s">
        <v>1250</v>
      </c>
    </row>
    <row r="53" spans="1:1">
      <c r="A53" s="207" t="s">
        <v>1251</v>
      </c>
    </row>
    <row r="54" spans="1:1">
      <c r="A54" s="207" t="s">
        <v>1252</v>
      </c>
    </row>
    <row r="55" spans="1:1">
      <c r="A55" s="207" t="s">
        <v>1253</v>
      </c>
    </row>
    <row r="57" spans="1:1" ht="30">
      <c r="A57" s="6" t="s">
        <v>1254</v>
      </c>
    </row>
    <row r="59" spans="1:1">
      <c r="A59" t="s">
        <v>1255</v>
      </c>
    </row>
    <row r="60" spans="1:1">
      <c r="A60" t="s">
        <v>1256</v>
      </c>
    </row>
    <row r="61" spans="1:1">
      <c r="A61" t="s">
        <v>1257</v>
      </c>
    </row>
    <row r="62" spans="1:1">
      <c r="A62" t="s">
        <v>1258</v>
      </c>
    </row>
  </sheetData>
  <hyperlinks>
    <hyperlink ref="C8" r:id="rId1" xr:uid="{6EE2BC66-7E82-44F4-9936-3A396162CA1B}"/>
    <hyperlink ref="C9" r:id="rId2" xr:uid="{A02A4EF8-A9F7-4D6E-AB3A-BA91D4B3EE33}"/>
    <hyperlink ref="C13" r:id="rId3" display="https://www.norelem.fr/fr/Aper%C3%A7u+du+produit/Syst%C3%A8mes-et-composants-pour-la-construction-de-machines-et-d%27installations/22000/Engrenages-cr%C3%A9maill%C3%A8res/Engrenage-en-acier-module-3-Denture-droite-frais%C3%A9e-angle-de-pression-20%C2%B0/Engrenage-en-acier-module-3-denture-droite-frais%C3%A9e-angle-de-pression-20%C2%B0-forme-A-avec-%C3%A9paulement/Roue-dent%C3%A9e-droite-acier-naturel/p/22400-0130300020" xr:uid="{45EE7C8F-5D25-47D0-A79A-FDF2AA03619B}"/>
    <hyperlink ref="C17" r:id="rId4" xr:uid="{B27C9BC5-823C-400E-9BDF-63FD34FB189B}"/>
    <hyperlink ref="C21" r:id="rId5" xr:uid="{2F9FAE65-6836-47C0-81C8-4FCF8C6028DC}"/>
  </hyperlinks>
  <pageMargins left="0.7" right="0.7" top="0.75" bottom="0.75" header="0.3" footer="0.3"/>
  <legacy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7AF1E3671515F48A27CA89960648EDD" ma:contentTypeVersion="3" ma:contentTypeDescription="Crée un document." ma:contentTypeScope="" ma:versionID="a42d7942ecbaf958e3650f1b3a2e0ee1">
  <xsd:schema xmlns:xsd="http://www.w3.org/2001/XMLSchema" xmlns:xs="http://www.w3.org/2001/XMLSchema" xmlns:p="http://schemas.microsoft.com/office/2006/metadata/properties" xmlns:ns2="7f2fa49c-e497-4b40-8576-4cd2b4387250" targetNamespace="http://schemas.microsoft.com/office/2006/metadata/properties" ma:root="true" ma:fieldsID="6ea61dee29a29b6d9426c3a9d768b5b9" ns2:_="">
    <xsd:import namespace="7f2fa49c-e497-4b40-8576-4cd2b438725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2fa49c-e497-4b40-8576-4cd2b43872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AECD5E-AFA1-4A39-90AB-60972608A28C}"/>
</file>

<file path=customXml/itemProps2.xml><?xml version="1.0" encoding="utf-8"?>
<ds:datastoreItem xmlns:ds="http://schemas.openxmlformats.org/officeDocument/2006/customXml" ds:itemID="{626ECEEE-1714-41BB-9546-5717569837F9}"/>
</file>

<file path=customXml/itemProps3.xml><?xml version="1.0" encoding="utf-8"?>
<ds:datastoreItem xmlns:ds="http://schemas.openxmlformats.org/officeDocument/2006/customXml" ds:itemID="{D38DF017-EF74-41F9-BA6A-7019991D5ED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Alice GODEFROY</dc:creator>
  <cp:keywords/>
  <dc:description/>
  <cp:lastModifiedBy/>
  <cp:revision/>
  <dcterms:created xsi:type="dcterms:W3CDTF">2023-12-11T10:01:19Z</dcterms:created>
  <dcterms:modified xsi:type="dcterms:W3CDTF">2026-07-16T07:40:39Z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0x010100F7AF1E3671515F48A27CA89960648EDD</vt:lpwstr>
  </property>
  <property fmtid="{D5CDD505-2E9C-101B-9397-08002B2CF9AE}" pid="3" name="MediaServiceImageTags">
    <vt:lpwstr/>
  </property>
</Properties>
</file>