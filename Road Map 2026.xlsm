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raballand\Downloads\"/>
    </mc:Choice>
  </mc:AlternateContent>
  <xr:revisionPtr revIDLastSave="0" documentId="8_{68747B6C-F0A6-48EC-8D2C-8269F9478F7B}" xr6:coauthVersionLast="47" xr6:coauthVersionMax="47" xr10:uidLastSave="{00000000-0000-0000-0000-000000000000}"/>
  <bookViews>
    <workbookView xWindow="-15165" yWindow="-24120" windowWidth="57840" windowHeight="23520" tabRatio="657" xr2:uid="{5637B63E-6E19-4747-8FC3-6427CFE1DA29}"/>
  </bookViews>
  <sheets>
    <sheet name="Planning taches" sheetId="8" r:id="rId1"/>
  </sheets>
  <definedNames>
    <definedName name="_xlnm._FilterDatabase" localSheetId="0" hidden="1">'Planning taches'!$A$4:$D$55</definedName>
    <definedName name="_xleta.IF" hidden="1" xlm="1">#NAME?</definedName>
    <definedName name="_xleta.WEEKNUM" hidden="1" xlm="1">#NAME?</definedName>
    <definedName name="_xlpm.r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E12" i="8" l="1" a="1"/>
  <c r="DG12" i="8"/>
  <c r="DH12" i="8" a="1"/>
  <c r="DG9" i="8"/>
  <c r="DG10" i="8"/>
  <c r="DG11" i="8"/>
  <c r="DG7" i="8"/>
  <c r="DG8" i="8"/>
  <c r="DG6" i="8"/>
  <c r="DG49" i="8"/>
  <c r="DG50" i="8"/>
  <c r="E57" i="8" a="1"/>
  <c r="F57" i="8" a="1"/>
  <c r="G57" i="8" a="1"/>
  <c r="H57" i="8" a="1"/>
  <c r="I57" i="8" a="1"/>
  <c r="J57" i="8" a="1"/>
  <c r="K57" i="8" a="1"/>
  <c r="L57" i="8" a="1"/>
  <c r="M57" i="8" a="1"/>
  <c r="N57" i="8" a="1"/>
  <c r="O57" i="8" a="1"/>
  <c r="P57" i="8" a="1"/>
  <c r="Q57" i="8" a="1"/>
  <c r="R57" i="8" a="1"/>
  <c r="S57" i="8" a="1"/>
  <c r="T57" i="8" a="1"/>
  <c r="U57" i="8" a="1"/>
  <c r="V57" i="8" a="1"/>
  <c r="W57" i="8" a="1"/>
  <c r="X57" i="8" a="1"/>
  <c r="Y57" i="8" a="1"/>
  <c r="Z57" i="8" a="1"/>
  <c r="AA57" i="8" a="1"/>
  <c r="AB57" i="8" a="1"/>
  <c r="AC57" i="8" a="1"/>
  <c r="AD57" i="8" a="1"/>
  <c r="AE57" i="8" a="1"/>
  <c r="AF57" i="8" a="1"/>
  <c r="AG57" i="8" a="1"/>
  <c r="AH57" i="8" a="1"/>
  <c r="AI57" i="8" a="1"/>
  <c r="AJ57" i="8" a="1"/>
  <c r="AK57" i="8" a="1"/>
  <c r="AL57" i="8" a="1"/>
  <c r="AM57" i="8" a="1"/>
  <c r="AN57" i="8" a="1"/>
  <c r="AO57" i="8" a="1"/>
  <c r="AP57" i="8" a="1"/>
  <c r="AQ57" i="8" a="1"/>
  <c r="AR57" i="8" a="1"/>
  <c r="AS57" i="8" a="1"/>
  <c r="AT57" i="8" a="1"/>
  <c r="AU57" i="8" a="1"/>
  <c r="AV57" i="8" a="1"/>
  <c r="AW57" i="8" a="1"/>
  <c r="AX57" i="8" a="1"/>
  <c r="AY57" i="8" a="1"/>
  <c r="AZ57" i="8" a="1"/>
  <c r="BA57" i="8" a="1"/>
  <c r="BB57" i="8" a="1"/>
  <c r="BC57" i="8" a="1"/>
  <c r="BD57" i="8" a="1"/>
  <c r="BE57" i="8" a="1"/>
  <c r="BF57" i="8" a="1"/>
  <c r="BG57" i="8" a="1"/>
  <c r="BH57" i="8" a="1"/>
  <c r="BI57" i="8" a="1"/>
  <c r="BJ57" i="8" a="1"/>
  <c r="BK57" i="8" a="1"/>
  <c r="BL57" i="8" a="1"/>
  <c r="BM57" i="8" a="1"/>
  <c r="BN57" i="8" a="1"/>
  <c r="BO57" i="8" a="1"/>
  <c r="BP57" i="8" a="1"/>
  <c r="BQ57" i="8" a="1"/>
  <c r="BR57" i="8" a="1"/>
  <c r="BS57" i="8" a="1"/>
  <c r="BT57" i="8" a="1"/>
  <c r="BU57" i="8" a="1"/>
  <c r="BV57" i="8" a="1"/>
  <c r="BW57" i="8" a="1"/>
  <c r="BX57" i="8" a="1"/>
  <c r="BY57" i="8" a="1"/>
  <c r="BZ57" i="8" a="1"/>
  <c r="CA57" i="8" a="1"/>
  <c r="CB57" i="8" a="1"/>
  <c r="CC57" i="8" a="1"/>
  <c r="CD57" i="8" a="1"/>
  <c r="CE57" i="8" a="1"/>
  <c r="CF57" i="8" a="1"/>
  <c r="CG57" i="8" a="1"/>
  <c r="CH57" i="8" a="1"/>
  <c r="CI57" i="8" a="1"/>
  <c r="CJ57" i="8" a="1"/>
  <c r="CK57" i="8" a="1"/>
  <c r="CL57" i="8" a="1"/>
  <c r="CM57" i="8" a="1"/>
  <c r="CN57" i="8" a="1"/>
  <c r="CO57" i="8" a="1"/>
  <c r="CP57" i="8" a="1"/>
  <c r="CQ57" i="8" a="1"/>
  <c r="CR57" i="8" a="1"/>
  <c r="CS57" i="8" a="1"/>
  <c r="CT57" i="8" a="1"/>
  <c r="CU57" i="8" a="1"/>
  <c r="CV57" i="8" a="1"/>
  <c r="CW57" i="8" a="1"/>
  <c r="CX57" i="8" a="1"/>
  <c r="CY57" i="8" a="1"/>
  <c r="CZ57" i="8" a="1"/>
  <c r="DA57" i="8" a="1"/>
  <c r="DB57" i="8" a="1"/>
  <c r="DC57" i="8" a="1"/>
  <c r="DD57" i="8" a="1"/>
  <c r="E58" i="8" a="1"/>
  <c r="F58" i="8" a="1"/>
  <c r="G58" i="8" a="1"/>
  <c r="H58" i="8" a="1"/>
  <c r="I58" i="8" a="1"/>
  <c r="J58" i="8" a="1"/>
  <c r="K58" i="8" a="1"/>
  <c r="L58" i="8" a="1"/>
  <c r="M58" i="8" a="1"/>
  <c r="N58" i="8" a="1"/>
  <c r="O58" i="8" a="1"/>
  <c r="P58" i="8" a="1"/>
  <c r="Q58" i="8" a="1"/>
  <c r="R58" i="8" a="1"/>
  <c r="S58" i="8" a="1"/>
  <c r="T58" i="8" a="1"/>
  <c r="U58" i="8" a="1"/>
  <c r="V58" i="8" a="1"/>
  <c r="W58" i="8" a="1"/>
  <c r="X58" i="8" a="1"/>
  <c r="Y58" i="8" a="1"/>
  <c r="Z58" i="8" a="1"/>
  <c r="AA58" i="8" a="1"/>
  <c r="AB58" i="8" a="1"/>
  <c r="AC58" i="8" a="1"/>
  <c r="AD58" i="8" a="1"/>
  <c r="AE58" i="8" a="1"/>
  <c r="AF58" i="8" a="1"/>
  <c r="AG58" i="8" a="1"/>
  <c r="AH58" i="8" a="1"/>
  <c r="AI58" i="8" a="1"/>
  <c r="AJ58" i="8" a="1"/>
  <c r="AK58" i="8" a="1"/>
  <c r="AL58" i="8" a="1"/>
  <c r="AM58" i="8" a="1"/>
  <c r="AN58" i="8" a="1"/>
  <c r="AO58" i="8" a="1"/>
  <c r="AP58" i="8" a="1"/>
  <c r="AQ58" i="8" a="1"/>
  <c r="AR58" i="8" a="1"/>
  <c r="AS58" i="8" a="1"/>
  <c r="AT58" i="8" a="1"/>
  <c r="AU58" i="8" a="1"/>
  <c r="AV58" i="8" a="1"/>
  <c r="AW58" i="8" a="1"/>
  <c r="AX58" i="8" a="1"/>
  <c r="AY58" i="8" a="1"/>
  <c r="AZ58" i="8" a="1"/>
  <c r="BA58" i="8" a="1"/>
  <c r="BB58" i="8" a="1"/>
  <c r="BC58" i="8" a="1"/>
  <c r="BD58" i="8" a="1"/>
  <c r="BE58" i="8" a="1"/>
  <c r="BF58" i="8" a="1"/>
  <c r="BG58" i="8" a="1"/>
  <c r="BH58" i="8" a="1"/>
  <c r="BI58" i="8" a="1"/>
  <c r="BJ58" i="8" a="1"/>
  <c r="BK58" i="8" a="1"/>
  <c r="BL58" i="8" a="1"/>
  <c r="BM58" i="8" a="1"/>
  <c r="BN58" i="8" a="1"/>
  <c r="BO58" i="8" a="1"/>
  <c r="BP58" i="8" a="1"/>
  <c r="BQ58" i="8" a="1"/>
  <c r="BR58" i="8" a="1"/>
  <c r="BS58" i="8" a="1"/>
  <c r="BT58" i="8" a="1"/>
  <c r="BU58" i="8" a="1"/>
  <c r="BV58" i="8" a="1"/>
  <c r="BW58" i="8" a="1"/>
  <c r="BX58" i="8" a="1"/>
  <c r="BY58" i="8" a="1"/>
  <c r="BZ58" i="8" a="1"/>
  <c r="CA58" i="8" a="1"/>
  <c r="CB58" i="8" a="1"/>
  <c r="CC58" i="8" a="1"/>
  <c r="CD58" i="8" a="1"/>
  <c r="CE58" i="8" a="1"/>
  <c r="CF58" i="8" a="1"/>
  <c r="CG58" i="8" a="1"/>
  <c r="CH58" i="8" a="1"/>
  <c r="CI58" i="8" a="1"/>
  <c r="CJ58" i="8" a="1"/>
  <c r="CK58" i="8" a="1"/>
  <c r="CL58" i="8" a="1"/>
  <c r="CM58" i="8" a="1"/>
  <c r="CN58" i="8" a="1"/>
  <c r="CO58" i="8" a="1"/>
  <c r="CP58" i="8" a="1"/>
  <c r="CQ58" i="8" a="1"/>
  <c r="CR58" i="8" a="1"/>
  <c r="CS58" i="8" a="1"/>
  <c r="CT58" i="8" a="1"/>
  <c r="CU58" i="8" a="1"/>
  <c r="CV58" i="8" a="1"/>
  <c r="CW58" i="8" a="1"/>
  <c r="CX58" i="8" a="1"/>
  <c r="CY58" i="8" a="1"/>
  <c r="CZ58" i="8" a="1"/>
  <c r="DA58" i="8" a="1"/>
  <c r="DB58" i="8" a="1"/>
  <c r="DC58" i="8" a="1"/>
  <c r="DD58" i="8" a="1"/>
  <c r="E59" i="8" a="1"/>
  <c r="F59" i="8" a="1"/>
  <c r="G59" i="8" a="1"/>
  <c r="H59" i="8" a="1"/>
  <c r="I59" i="8" a="1"/>
  <c r="J59" i="8" a="1"/>
  <c r="K59" i="8" a="1"/>
  <c r="L59" i="8" a="1"/>
  <c r="M59" i="8" a="1"/>
  <c r="N59" i="8" a="1"/>
  <c r="O59" i="8" a="1"/>
  <c r="P59" i="8" a="1"/>
  <c r="Q59" i="8" a="1"/>
  <c r="R59" i="8" a="1"/>
  <c r="S59" i="8" a="1"/>
  <c r="T59" i="8" a="1"/>
  <c r="U59" i="8" a="1"/>
  <c r="V59" i="8" a="1"/>
  <c r="W59" i="8" a="1"/>
  <c r="X59" i="8" a="1"/>
  <c r="Y59" i="8" a="1"/>
  <c r="Z59" i="8" a="1"/>
  <c r="AA59" i="8" a="1"/>
  <c r="AB59" i="8" a="1"/>
  <c r="AC59" i="8" a="1"/>
  <c r="AD59" i="8" a="1"/>
  <c r="AE59" i="8" a="1"/>
  <c r="AF59" i="8" a="1"/>
  <c r="AG59" i="8" a="1"/>
  <c r="AH59" i="8" a="1"/>
  <c r="AI59" i="8" a="1"/>
  <c r="AJ59" i="8" a="1"/>
  <c r="AK59" i="8" a="1"/>
  <c r="AL59" i="8" a="1"/>
  <c r="AM59" i="8" a="1"/>
  <c r="AN59" i="8" a="1"/>
  <c r="AO59" i="8" a="1"/>
  <c r="AP59" i="8" a="1"/>
  <c r="AQ59" i="8" a="1"/>
  <c r="AR59" i="8" a="1"/>
  <c r="AS59" i="8" a="1"/>
  <c r="AT59" i="8" a="1"/>
  <c r="AU59" i="8" a="1"/>
  <c r="AV59" i="8" a="1"/>
  <c r="AW59" i="8" a="1"/>
  <c r="AX59" i="8" a="1"/>
  <c r="AY59" i="8" a="1"/>
  <c r="AZ59" i="8" a="1"/>
  <c r="BA59" i="8" a="1"/>
  <c r="BB59" i="8" a="1"/>
  <c r="BC59" i="8" a="1"/>
  <c r="BD59" i="8" a="1"/>
  <c r="BE59" i="8" a="1"/>
  <c r="BF59" i="8" a="1"/>
  <c r="BG59" i="8" a="1"/>
  <c r="BH59" i="8" a="1"/>
  <c r="BI59" i="8" a="1"/>
  <c r="BJ59" i="8" a="1"/>
  <c r="BK59" i="8" a="1"/>
  <c r="BL59" i="8" a="1"/>
  <c r="BM59" i="8" a="1"/>
  <c r="BN59" i="8" a="1"/>
  <c r="BO59" i="8" a="1"/>
  <c r="BP59" i="8" a="1"/>
  <c r="BQ59" i="8" a="1"/>
  <c r="BR59" i="8" a="1"/>
  <c r="BS59" i="8" a="1"/>
  <c r="BT59" i="8" a="1"/>
  <c r="BU59" i="8" a="1"/>
  <c r="BV59" i="8" a="1"/>
  <c r="BW59" i="8" a="1"/>
  <c r="BX59" i="8" a="1"/>
  <c r="BY59" i="8" a="1"/>
  <c r="BZ59" i="8" a="1"/>
  <c r="CA59" i="8" a="1"/>
  <c r="CB59" i="8" a="1"/>
  <c r="CC59" i="8" a="1"/>
  <c r="CD59" i="8" a="1"/>
  <c r="CE59" i="8" a="1"/>
  <c r="CF59" i="8" a="1"/>
  <c r="CG59" i="8" a="1"/>
  <c r="CH59" i="8" a="1"/>
  <c r="CI59" i="8" a="1"/>
  <c r="CJ59" i="8" a="1"/>
  <c r="CK59" i="8" a="1"/>
  <c r="CL59" i="8" a="1"/>
  <c r="CM59" i="8" a="1"/>
  <c r="CN59" i="8" a="1"/>
  <c r="CO59" i="8" a="1"/>
  <c r="CP59" i="8" a="1"/>
  <c r="CQ59" i="8" a="1"/>
  <c r="CR59" i="8" a="1"/>
  <c r="CS59" i="8" a="1"/>
  <c r="CT59" i="8" a="1"/>
  <c r="CU59" i="8" a="1"/>
  <c r="CV59" i="8" a="1"/>
  <c r="CW59" i="8" a="1"/>
  <c r="CX59" i="8" a="1"/>
  <c r="CY59" i="8" a="1"/>
  <c r="CZ59" i="8" a="1"/>
  <c r="DA59" i="8" a="1"/>
  <c r="DB59" i="8" a="1"/>
  <c r="DC59" i="8" a="1"/>
  <c r="DD59" i="8" a="1"/>
  <c r="E60" i="8" a="1"/>
  <c r="F60" i="8" a="1"/>
  <c r="G60" i="8" a="1"/>
  <c r="H60" i="8" a="1"/>
  <c r="I60" i="8" a="1"/>
  <c r="J60" i="8" a="1"/>
  <c r="K60" i="8" a="1"/>
  <c r="L60" i="8" a="1"/>
  <c r="M60" i="8" a="1"/>
  <c r="N60" i="8" a="1"/>
  <c r="O60" i="8" a="1"/>
  <c r="P60" i="8" a="1"/>
  <c r="Q60" i="8" a="1"/>
  <c r="R60" i="8" a="1"/>
  <c r="S60" i="8" a="1"/>
  <c r="T60" i="8" a="1"/>
  <c r="U60" i="8" a="1"/>
  <c r="V60" i="8" a="1"/>
  <c r="W60" i="8" a="1"/>
  <c r="X60" i="8" a="1"/>
  <c r="Y60" i="8" a="1"/>
  <c r="Z60" i="8" a="1"/>
  <c r="AA60" i="8" a="1"/>
  <c r="AB60" i="8" a="1"/>
  <c r="AC60" i="8" a="1"/>
  <c r="AD60" i="8" a="1"/>
  <c r="AE60" i="8" a="1"/>
  <c r="AF60" i="8" a="1"/>
  <c r="AG60" i="8" a="1"/>
  <c r="AH60" i="8" a="1"/>
  <c r="AI60" i="8" a="1"/>
  <c r="AJ60" i="8" a="1"/>
  <c r="AK60" i="8" a="1"/>
  <c r="AL60" i="8" a="1"/>
  <c r="AM60" i="8" a="1"/>
  <c r="AN60" i="8" a="1"/>
  <c r="AO60" i="8" a="1"/>
  <c r="AP60" i="8" a="1"/>
  <c r="AQ60" i="8" a="1"/>
  <c r="AR60" i="8" a="1"/>
  <c r="AS60" i="8" a="1"/>
  <c r="AT60" i="8" a="1"/>
  <c r="AU60" i="8" a="1"/>
  <c r="AV60" i="8" a="1"/>
  <c r="AW60" i="8" a="1"/>
  <c r="AX60" i="8" a="1"/>
  <c r="AY60" i="8" a="1"/>
  <c r="AZ60" i="8" a="1"/>
  <c r="BA60" i="8" a="1"/>
  <c r="BB60" i="8" a="1"/>
  <c r="BC60" i="8" a="1"/>
  <c r="BD60" i="8" a="1"/>
  <c r="BE60" i="8" a="1"/>
  <c r="BF60" i="8" a="1"/>
  <c r="BG60" i="8" a="1"/>
  <c r="BH60" i="8" a="1"/>
  <c r="BI60" i="8" a="1"/>
  <c r="BJ60" i="8" a="1"/>
  <c r="BK60" i="8" a="1"/>
  <c r="BL60" i="8" a="1"/>
  <c r="BM60" i="8" a="1"/>
  <c r="BN60" i="8" a="1"/>
  <c r="BO60" i="8" a="1"/>
  <c r="BP60" i="8" a="1"/>
  <c r="BQ60" i="8" a="1"/>
  <c r="BR60" i="8" a="1"/>
  <c r="BS60" i="8" a="1"/>
  <c r="BT60" i="8" a="1"/>
  <c r="BU60" i="8" a="1"/>
  <c r="BV60" i="8" a="1"/>
  <c r="BW60" i="8" a="1"/>
  <c r="BX60" i="8" a="1"/>
  <c r="BY60" i="8" a="1"/>
  <c r="BZ60" i="8" a="1"/>
  <c r="CA60" i="8" a="1"/>
  <c r="CB60" i="8" a="1"/>
  <c r="CC60" i="8" a="1"/>
  <c r="CD60" i="8" a="1"/>
  <c r="CE60" i="8" a="1"/>
  <c r="CF60" i="8" a="1"/>
  <c r="CG60" i="8" a="1"/>
  <c r="CH60" i="8" a="1"/>
  <c r="CI60" i="8" a="1"/>
  <c r="CJ60" i="8" a="1"/>
  <c r="CK60" i="8" a="1"/>
  <c r="CL60" i="8" a="1"/>
  <c r="CM60" i="8" a="1"/>
  <c r="CN60" i="8" a="1"/>
  <c r="CO60" i="8" a="1"/>
  <c r="CP60" i="8" a="1"/>
  <c r="CQ60" i="8" a="1"/>
  <c r="CR60" i="8" a="1"/>
  <c r="CS60" i="8" a="1"/>
  <c r="CT60" i="8" a="1"/>
  <c r="CU60" i="8" a="1"/>
  <c r="CV60" i="8" a="1"/>
  <c r="CW60" i="8" a="1"/>
  <c r="CX60" i="8" a="1"/>
  <c r="CY60" i="8" a="1"/>
  <c r="CZ60" i="8" a="1"/>
  <c r="DA60" i="8" a="1"/>
  <c r="DB60" i="8" a="1"/>
  <c r="DC60" i="8" a="1"/>
  <c r="DD60" i="8" a="1"/>
  <c r="E61" i="8" a="1"/>
  <c r="F61" i="8" a="1"/>
  <c r="G61" i="8" a="1"/>
  <c r="H61" i="8" a="1"/>
  <c r="I61" i="8" a="1"/>
  <c r="J61" i="8" a="1"/>
  <c r="K61" i="8" a="1"/>
  <c r="L61" i="8" a="1"/>
  <c r="M61" i="8" a="1"/>
  <c r="N61" i="8" a="1"/>
  <c r="O61" i="8" a="1"/>
  <c r="P61" i="8" a="1"/>
  <c r="Q61" i="8" a="1"/>
  <c r="R61" i="8" a="1"/>
  <c r="S61" i="8" a="1"/>
  <c r="T61" i="8" a="1"/>
  <c r="U61" i="8" a="1"/>
  <c r="V61" i="8" a="1"/>
  <c r="W61" i="8" a="1"/>
  <c r="X61" i="8" a="1"/>
  <c r="Y61" i="8" a="1"/>
  <c r="Z61" i="8" a="1"/>
  <c r="AA61" i="8" a="1"/>
  <c r="AB61" i="8" a="1"/>
  <c r="AC61" i="8" a="1"/>
  <c r="AD61" i="8" a="1"/>
  <c r="AE61" i="8" a="1"/>
  <c r="AF61" i="8" a="1"/>
  <c r="AG61" i="8" a="1"/>
  <c r="AH61" i="8" a="1"/>
  <c r="AI61" i="8" a="1"/>
  <c r="AJ61" i="8" a="1"/>
  <c r="AK61" i="8" a="1"/>
  <c r="AL61" i="8" a="1"/>
  <c r="AM61" i="8" a="1"/>
  <c r="AN61" i="8" a="1"/>
  <c r="AO61" i="8" a="1"/>
  <c r="AP61" i="8" a="1"/>
  <c r="AQ61" i="8" a="1"/>
  <c r="AR61" i="8" a="1"/>
  <c r="AS61" i="8" a="1"/>
  <c r="AT61" i="8" a="1"/>
  <c r="AU61" i="8" a="1"/>
  <c r="AV61" i="8" a="1"/>
  <c r="AW61" i="8" a="1"/>
  <c r="AX61" i="8" a="1"/>
  <c r="AY61" i="8" a="1"/>
  <c r="AZ61" i="8" a="1"/>
  <c r="BA61" i="8" a="1"/>
  <c r="BB61" i="8" a="1"/>
  <c r="BC61" i="8" a="1"/>
  <c r="BD61" i="8" a="1"/>
  <c r="BE61" i="8" a="1"/>
  <c r="BF61" i="8" a="1"/>
  <c r="BG61" i="8" a="1"/>
  <c r="BH61" i="8" a="1"/>
  <c r="BI61" i="8" a="1"/>
  <c r="BJ61" i="8" a="1"/>
  <c r="BK61" i="8" a="1"/>
  <c r="BL61" i="8" a="1"/>
  <c r="BM61" i="8" a="1"/>
  <c r="BN61" i="8" a="1"/>
  <c r="BO61" i="8" a="1"/>
  <c r="BP61" i="8" a="1"/>
  <c r="BQ61" i="8" a="1"/>
  <c r="BR61" i="8" a="1"/>
  <c r="BS61" i="8" a="1"/>
  <c r="BT61" i="8" a="1"/>
  <c r="BU61" i="8" a="1"/>
  <c r="BV61" i="8" a="1"/>
  <c r="BW61" i="8" a="1"/>
  <c r="BX61" i="8" a="1"/>
  <c r="BY61" i="8" a="1"/>
  <c r="BZ61" i="8" a="1"/>
  <c r="CA61" i="8" a="1"/>
  <c r="CB61" i="8" a="1"/>
  <c r="CC61" i="8" a="1"/>
  <c r="CD61" i="8" a="1"/>
  <c r="CE61" i="8" a="1"/>
  <c r="CF61" i="8" a="1"/>
  <c r="CG61" i="8" a="1"/>
  <c r="CH61" i="8" a="1"/>
  <c r="CI61" i="8" a="1"/>
  <c r="CJ61" i="8" a="1"/>
  <c r="CK61" i="8" a="1"/>
  <c r="CL61" i="8" a="1"/>
  <c r="CM61" i="8" a="1"/>
  <c r="CN61" i="8" a="1"/>
  <c r="CO61" i="8" a="1"/>
  <c r="CP61" i="8" a="1"/>
  <c r="CQ61" i="8" a="1"/>
  <c r="CR61" i="8" a="1"/>
  <c r="CS61" i="8" a="1"/>
  <c r="CT61" i="8" a="1"/>
  <c r="CU61" i="8" a="1"/>
  <c r="CV61" i="8" a="1"/>
  <c r="CW61" i="8" a="1"/>
  <c r="CX61" i="8" a="1"/>
  <c r="CY61" i="8" a="1"/>
  <c r="CZ61" i="8" a="1"/>
  <c r="DA61" i="8" a="1"/>
  <c r="DB61" i="8" a="1"/>
  <c r="DC61" i="8" a="1"/>
  <c r="DD61" i="8" a="1"/>
  <c r="E62" i="8" a="1"/>
  <c r="F62" i="8" a="1"/>
  <c r="G62" i="8" a="1"/>
  <c r="H62" i="8" a="1"/>
  <c r="I62" i="8" a="1"/>
  <c r="J62" i="8" a="1"/>
  <c r="K62" i="8" a="1"/>
  <c r="L62" i="8" a="1"/>
  <c r="M62" i="8" a="1"/>
  <c r="N62" i="8" a="1"/>
  <c r="O62" i="8" a="1"/>
  <c r="P62" i="8" a="1"/>
  <c r="Q62" i="8" a="1"/>
  <c r="R62" i="8" a="1"/>
  <c r="S62" i="8" a="1"/>
  <c r="T62" i="8" a="1"/>
  <c r="U62" i="8" a="1"/>
  <c r="V62" i="8" a="1"/>
  <c r="W62" i="8" a="1"/>
  <c r="X62" i="8" a="1"/>
  <c r="Y62" i="8" a="1"/>
  <c r="Z62" i="8" a="1"/>
  <c r="AA62" i="8" a="1"/>
  <c r="AB62" i="8" a="1"/>
  <c r="AC62" i="8" a="1"/>
  <c r="AD62" i="8" a="1"/>
  <c r="AE62" i="8" a="1"/>
  <c r="AF62" i="8" a="1"/>
  <c r="AG62" i="8" a="1"/>
  <c r="AH62" i="8" a="1"/>
  <c r="AI62" i="8" a="1"/>
  <c r="AJ62" i="8" a="1"/>
  <c r="AK62" i="8" a="1"/>
  <c r="AL62" i="8" a="1"/>
  <c r="AM62" i="8" a="1"/>
  <c r="AN62" i="8" a="1"/>
  <c r="AO62" i="8" a="1"/>
  <c r="AP62" i="8" a="1"/>
  <c r="AQ62" i="8" a="1"/>
  <c r="AR62" i="8" a="1"/>
  <c r="AS62" i="8" a="1"/>
  <c r="AT62" i="8" a="1"/>
  <c r="AU62" i="8" a="1"/>
  <c r="AV62" i="8" a="1"/>
  <c r="AW62" i="8" a="1"/>
  <c r="AX62" i="8" a="1"/>
  <c r="AY62" i="8" a="1"/>
  <c r="AZ62" i="8" a="1"/>
  <c r="BA62" i="8" a="1"/>
  <c r="BB62" i="8" a="1"/>
  <c r="BC62" i="8" a="1"/>
  <c r="BD62" i="8" a="1"/>
  <c r="BE62" i="8" a="1"/>
  <c r="BF62" i="8" a="1"/>
  <c r="BG62" i="8" a="1"/>
  <c r="BH62" i="8" a="1"/>
  <c r="BI62" i="8" a="1"/>
  <c r="BJ62" i="8" a="1"/>
  <c r="BK62" i="8" a="1"/>
  <c r="BL62" i="8" a="1"/>
  <c r="BM62" i="8" a="1"/>
  <c r="BN62" i="8" a="1"/>
  <c r="BO62" i="8" a="1"/>
  <c r="BP62" i="8" a="1"/>
  <c r="BQ62" i="8" a="1"/>
  <c r="BR62" i="8" a="1"/>
  <c r="BS62" i="8" a="1"/>
  <c r="BT62" i="8" a="1"/>
  <c r="BU62" i="8" a="1"/>
  <c r="BV62" i="8" a="1"/>
  <c r="BW62" i="8" a="1"/>
  <c r="BX62" i="8" a="1"/>
  <c r="BY62" i="8" a="1"/>
  <c r="BZ62" i="8" a="1"/>
  <c r="CA62" i="8" a="1"/>
  <c r="CB62" i="8" a="1"/>
  <c r="CC62" i="8" a="1"/>
  <c r="CD62" i="8" a="1"/>
  <c r="CE62" i="8" a="1"/>
  <c r="CF62" i="8" a="1"/>
  <c r="CG62" i="8" a="1"/>
  <c r="CH62" i="8" a="1"/>
  <c r="CI62" i="8" a="1"/>
  <c r="CJ62" i="8" a="1"/>
  <c r="CK62" i="8" a="1"/>
  <c r="CL62" i="8" a="1"/>
  <c r="CM62" i="8" a="1"/>
  <c r="CN62" i="8" a="1"/>
  <c r="CO62" i="8" a="1"/>
  <c r="CP62" i="8" a="1"/>
  <c r="CQ62" i="8" a="1"/>
  <c r="CR62" i="8" a="1"/>
  <c r="CS62" i="8" a="1"/>
  <c r="CT62" i="8" a="1"/>
  <c r="CU62" i="8" a="1"/>
  <c r="CV62" i="8" a="1"/>
  <c r="CW62" i="8" a="1"/>
  <c r="CX62" i="8" a="1"/>
  <c r="CY62" i="8" a="1"/>
  <c r="CZ62" i="8" a="1"/>
  <c r="DA62" i="8" a="1"/>
  <c r="DB62" i="8" a="1"/>
  <c r="DC62" i="8" a="1"/>
  <c r="DD62" i="8" a="1"/>
  <c r="E63" i="8" a="1"/>
  <c r="F63" i="8" a="1"/>
  <c r="G63" i="8" a="1"/>
  <c r="H63" i="8" a="1"/>
  <c r="I63" i="8" a="1"/>
  <c r="J63" i="8" a="1"/>
  <c r="K63" i="8" a="1"/>
  <c r="L63" i="8" a="1"/>
  <c r="M63" i="8" a="1"/>
  <c r="N63" i="8" a="1"/>
  <c r="O63" i="8" a="1"/>
  <c r="P63" i="8" a="1"/>
  <c r="Q63" i="8" a="1"/>
  <c r="R63" i="8" a="1"/>
  <c r="S63" i="8" a="1"/>
  <c r="T63" i="8" a="1"/>
  <c r="U63" i="8" a="1"/>
  <c r="V63" i="8" a="1"/>
  <c r="W63" i="8" a="1"/>
  <c r="X63" i="8" a="1"/>
  <c r="Y63" i="8" a="1"/>
  <c r="Z63" i="8" a="1"/>
  <c r="AA63" i="8" a="1"/>
  <c r="AB63" i="8" a="1"/>
  <c r="AC63" i="8" a="1"/>
  <c r="AD63" i="8" a="1"/>
  <c r="AE63" i="8" a="1"/>
  <c r="AF63" i="8" a="1"/>
  <c r="AG63" i="8" a="1"/>
  <c r="AH63" i="8" a="1"/>
  <c r="AI63" i="8" a="1"/>
  <c r="AJ63" i="8" a="1"/>
  <c r="AK63" i="8" a="1"/>
  <c r="AL63" i="8" a="1"/>
  <c r="AM63" i="8" a="1"/>
  <c r="AN63" i="8" a="1"/>
  <c r="AO63" i="8" a="1"/>
  <c r="AP63" i="8" a="1"/>
  <c r="AQ63" i="8" a="1"/>
  <c r="AR63" i="8" a="1"/>
  <c r="AS63" i="8" a="1"/>
  <c r="AT63" i="8" a="1"/>
  <c r="AU63" i="8" a="1"/>
  <c r="AV63" i="8" a="1"/>
  <c r="AW63" i="8" a="1"/>
  <c r="AX63" i="8" a="1"/>
  <c r="AY63" i="8" a="1"/>
  <c r="AZ63" i="8" a="1"/>
  <c r="BA63" i="8" a="1"/>
  <c r="BB63" i="8" a="1"/>
  <c r="BC63" i="8" a="1"/>
  <c r="BD63" i="8" a="1"/>
  <c r="BE63" i="8" a="1"/>
  <c r="BF63" i="8" a="1"/>
  <c r="BG63" i="8" a="1"/>
  <c r="BH63" i="8" a="1"/>
  <c r="BI63" i="8" a="1"/>
  <c r="BJ63" i="8" a="1"/>
  <c r="BK63" i="8" a="1"/>
  <c r="BL63" i="8" a="1"/>
  <c r="BM63" i="8" a="1"/>
  <c r="BN63" i="8" a="1"/>
  <c r="BO63" i="8" a="1"/>
  <c r="BP63" i="8" a="1"/>
  <c r="BQ63" i="8" a="1"/>
  <c r="BR63" i="8" a="1"/>
  <c r="BS63" i="8" a="1"/>
  <c r="BT63" i="8" a="1"/>
  <c r="BU63" i="8" a="1"/>
  <c r="BV63" i="8" a="1"/>
  <c r="BW63" i="8" a="1"/>
  <c r="BX63" i="8" a="1"/>
  <c r="BY63" i="8" a="1"/>
  <c r="BZ63" i="8" a="1"/>
  <c r="CA63" i="8" a="1"/>
  <c r="CB63" i="8" a="1"/>
  <c r="CC63" i="8" a="1"/>
  <c r="CD63" i="8" a="1"/>
  <c r="CE63" i="8" a="1"/>
  <c r="CF63" i="8" a="1"/>
  <c r="CG63" i="8" a="1"/>
  <c r="CH63" i="8" a="1"/>
  <c r="CI63" i="8" a="1"/>
  <c r="CJ63" i="8" a="1"/>
  <c r="CK63" i="8" a="1"/>
  <c r="CL63" i="8" a="1"/>
  <c r="CM63" i="8" a="1"/>
  <c r="CN63" i="8" a="1"/>
  <c r="CO63" i="8" a="1"/>
  <c r="CP63" i="8" a="1"/>
  <c r="CQ63" i="8" a="1"/>
  <c r="CR63" i="8" a="1"/>
  <c r="CS63" i="8" a="1"/>
  <c r="CT63" i="8" a="1"/>
  <c r="CU63" i="8" a="1"/>
  <c r="CV63" i="8" a="1"/>
  <c r="CW63" i="8" a="1"/>
  <c r="CX63" i="8" a="1"/>
  <c r="CY63" i="8" a="1"/>
  <c r="CZ63" i="8" a="1"/>
  <c r="DA63" i="8" a="1"/>
  <c r="DB63" i="8" a="1"/>
  <c r="DC63" i="8" a="1"/>
  <c r="DD63" i="8" a="1"/>
  <c r="E64" i="8" a="1"/>
  <c r="F64" i="8" a="1"/>
  <c r="G64" i="8" a="1"/>
  <c r="H64" i="8" a="1"/>
  <c r="I64" i="8" a="1"/>
  <c r="J64" i="8" a="1"/>
  <c r="K64" i="8" a="1"/>
  <c r="L64" i="8" a="1"/>
  <c r="M64" i="8" a="1"/>
  <c r="N64" i="8" a="1"/>
  <c r="O64" i="8" a="1"/>
  <c r="P64" i="8" a="1"/>
  <c r="Q64" i="8" a="1"/>
  <c r="R64" i="8" a="1"/>
  <c r="S64" i="8" a="1"/>
  <c r="T64" i="8" a="1"/>
  <c r="U64" i="8" a="1"/>
  <c r="V64" i="8" a="1"/>
  <c r="W64" i="8" a="1"/>
  <c r="X64" i="8" a="1"/>
  <c r="Y64" i="8" a="1"/>
  <c r="Z64" i="8" a="1"/>
  <c r="AA64" i="8" a="1"/>
  <c r="AB64" i="8" a="1"/>
  <c r="AC64" i="8" a="1"/>
  <c r="AD64" i="8" a="1"/>
  <c r="AE64" i="8" a="1"/>
  <c r="AF64" i="8" a="1"/>
  <c r="AG64" i="8" a="1"/>
  <c r="AH64" i="8" a="1"/>
  <c r="AI64" i="8" a="1"/>
  <c r="AJ64" i="8" a="1"/>
  <c r="AK64" i="8" a="1"/>
  <c r="AL64" i="8" a="1"/>
  <c r="AM64" i="8" a="1"/>
  <c r="AN64" i="8" a="1"/>
  <c r="AO64" i="8" a="1"/>
  <c r="AP64" i="8" a="1"/>
  <c r="AQ64" i="8" a="1"/>
  <c r="AR64" i="8" a="1"/>
  <c r="AS64" i="8" a="1"/>
  <c r="AT64" i="8" a="1"/>
  <c r="AU64" i="8" a="1"/>
  <c r="AV64" i="8" a="1"/>
  <c r="AW64" i="8" a="1"/>
  <c r="AX64" i="8" a="1"/>
  <c r="AY64" i="8" a="1"/>
  <c r="AZ64" i="8" a="1"/>
  <c r="BA64" i="8" a="1"/>
  <c r="BB64" i="8" a="1"/>
  <c r="BC64" i="8" a="1"/>
  <c r="BD64" i="8" a="1"/>
  <c r="BE64" i="8" a="1"/>
  <c r="BF64" i="8" a="1"/>
  <c r="BG64" i="8" a="1"/>
  <c r="BH64" i="8" a="1"/>
  <c r="BI64" i="8" a="1"/>
  <c r="BJ64" i="8" a="1"/>
  <c r="BK64" i="8" a="1"/>
  <c r="BL64" i="8" a="1"/>
  <c r="BM64" i="8" a="1"/>
  <c r="BN64" i="8" a="1"/>
  <c r="BO64" i="8" a="1"/>
  <c r="BP64" i="8" a="1"/>
  <c r="BQ64" i="8" a="1"/>
  <c r="BR64" i="8" a="1"/>
  <c r="BS64" i="8" a="1"/>
  <c r="BT64" i="8" a="1"/>
  <c r="BU64" i="8" a="1"/>
  <c r="BV64" i="8" a="1"/>
  <c r="BW64" i="8" a="1"/>
  <c r="BX64" i="8" a="1"/>
  <c r="BY64" i="8" a="1"/>
  <c r="BZ64" i="8" a="1"/>
  <c r="CA64" i="8" a="1"/>
  <c r="CB64" i="8" a="1"/>
  <c r="CC64" i="8" a="1"/>
  <c r="CD64" i="8" a="1"/>
  <c r="CE64" i="8" a="1"/>
  <c r="CF64" i="8" a="1"/>
  <c r="CG64" i="8" a="1"/>
  <c r="CH64" i="8" a="1"/>
  <c r="CI64" i="8" a="1"/>
  <c r="CJ64" i="8" a="1"/>
  <c r="CK64" i="8" a="1"/>
  <c r="CL64" i="8" a="1"/>
  <c r="CM64" i="8" a="1"/>
  <c r="CN64" i="8" a="1"/>
  <c r="CO64" i="8" a="1"/>
  <c r="CP64" i="8" a="1"/>
  <c r="CQ64" i="8" a="1"/>
  <c r="CR64" i="8" a="1"/>
  <c r="CS64" i="8" a="1"/>
  <c r="CT64" i="8" a="1"/>
  <c r="CU64" i="8" a="1"/>
  <c r="CV64" i="8" a="1"/>
  <c r="CW64" i="8" a="1"/>
  <c r="CX64" i="8" a="1"/>
  <c r="CY64" i="8" a="1"/>
  <c r="CZ64" i="8" a="1"/>
  <c r="DA64" i="8" a="1"/>
  <c r="DB64" i="8" a="1"/>
  <c r="DC64" i="8" a="1"/>
  <c r="DD64" i="8" a="1"/>
  <c r="E65" i="8" a="1"/>
  <c r="F65" i="8" a="1"/>
  <c r="G65" i="8" a="1"/>
  <c r="H65" i="8" a="1"/>
  <c r="I65" i="8" a="1"/>
  <c r="J65" i="8" a="1"/>
  <c r="K65" i="8" a="1"/>
  <c r="L65" i="8" a="1"/>
  <c r="M65" i="8" a="1"/>
  <c r="N65" i="8" a="1"/>
  <c r="O65" i="8" a="1"/>
  <c r="P65" i="8" a="1"/>
  <c r="Q65" i="8" a="1"/>
  <c r="R65" i="8" a="1"/>
  <c r="S65" i="8" a="1"/>
  <c r="T65" i="8" a="1"/>
  <c r="U65" i="8" a="1"/>
  <c r="V65" i="8" a="1"/>
  <c r="W65" i="8" a="1"/>
  <c r="X65" i="8" a="1"/>
  <c r="Y65" i="8" a="1"/>
  <c r="Z65" i="8" a="1"/>
  <c r="AA65" i="8" a="1"/>
  <c r="AB65" i="8" a="1"/>
  <c r="AC65" i="8" a="1"/>
  <c r="AD65" i="8" a="1"/>
  <c r="AE65" i="8" a="1"/>
  <c r="AF65" i="8" a="1"/>
  <c r="AG65" i="8" a="1"/>
  <c r="AH65" i="8" a="1"/>
  <c r="AI65" i="8" a="1"/>
  <c r="AJ65" i="8" a="1"/>
  <c r="AK65" i="8" a="1"/>
  <c r="AL65" i="8" a="1"/>
  <c r="AM65" i="8" a="1"/>
  <c r="AN65" i="8" a="1"/>
  <c r="AO65" i="8" a="1"/>
  <c r="AP65" i="8" a="1"/>
  <c r="AQ65" i="8" a="1"/>
  <c r="AR65" i="8" a="1"/>
  <c r="AS65" i="8" a="1"/>
  <c r="AT65" i="8" a="1"/>
  <c r="AU65" i="8" a="1"/>
  <c r="AV65" i="8" a="1"/>
  <c r="AW65" i="8" a="1"/>
  <c r="AX65" i="8" a="1"/>
  <c r="AY65" i="8" a="1"/>
  <c r="AZ65" i="8" a="1"/>
  <c r="BA65" i="8" a="1"/>
  <c r="BB65" i="8" a="1"/>
  <c r="BC65" i="8" a="1"/>
  <c r="BD65" i="8" a="1"/>
  <c r="BE65" i="8" a="1"/>
  <c r="BF65" i="8" a="1"/>
  <c r="BG65" i="8" a="1"/>
  <c r="BH65" i="8" a="1"/>
  <c r="BI65" i="8" a="1"/>
  <c r="BJ65" i="8" a="1"/>
  <c r="BK65" i="8" a="1"/>
  <c r="BL65" i="8" a="1"/>
  <c r="BM65" i="8" a="1"/>
  <c r="BN65" i="8" a="1"/>
  <c r="BO65" i="8" a="1"/>
  <c r="BP65" i="8" a="1"/>
  <c r="BQ65" i="8" a="1"/>
  <c r="BR65" i="8" a="1"/>
  <c r="BS65" i="8" a="1"/>
  <c r="BT65" i="8" a="1"/>
  <c r="BU65" i="8" a="1"/>
  <c r="BV65" i="8" a="1"/>
  <c r="BW65" i="8" a="1"/>
  <c r="BX65" i="8" a="1"/>
  <c r="BY65" i="8" a="1"/>
  <c r="BZ65" i="8" a="1"/>
  <c r="CA65" i="8" a="1"/>
  <c r="CB65" i="8" a="1"/>
  <c r="CC65" i="8" a="1"/>
  <c r="CD65" i="8" a="1"/>
  <c r="CE65" i="8" a="1"/>
  <c r="CF65" i="8" a="1"/>
  <c r="CG65" i="8" a="1"/>
  <c r="CH65" i="8" a="1"/>
  <c r="CI65" i="8" a="1"/>
  <c r="CJ65" i="8" a="1"/>
  <c r="CK65" i="8" a="1"/>
  <c r="CL65" i="8" a="1"/>
  <c r="CM65" i="8" a="1"/>
  <c r="CN65" i="8" a="1"/>
  <c r="CO65" i="8" a="1"/>
  <c r="CP65" i="8" a="1"/>
  <c r="CQ65" i="8" a="1"/>
  <c r="CR65" i="8" a="1"/>
  <c r="CS65" i="8" a="1"/>
  <c r="CT65" i="8" a="1"/>
  <c r="CU65" i="8" a="1"/>
  <c r="CV65" i="8" a="1"/>
  <c r="CW65" i="8" a="1"/>
  <c r="CX65" i="8" a="1"/>
  <c r="CY65" i="8" a="1"/>
  <c r="CZ65" i="8" a="1"/>
  <c r="DA65" i="8" a="1"/>
  <c r="DB65" i="8" a="1"/>
  <c r="DC65" i="8" a="1"/>
  <c r="DD65" i="8" a="1"/>
  <c r="E66" i="8" a="1"/>
  <c r="F66" i="8" a="1"/>
  <c r="G66" i="8" a="1"/>
  <c r="H66" i="8" a="1"/>
  <c r="I66" i="8" a="1"/>
  <c r="J66" i="8" a="1"/>
  <c r="K66" i="8" a="1"/>
  <c r="L66" i="8" a="1"/>
  <c r="M66" i="8" a="1"/>
  <c r="N66" i="8" a="1"/>
  <c r="O66" i="8" a="1"/>
  <c r="P66" i="8" a="1"/>
  <c r="Q66" i="8" a="1"/>
  <c r="R66" i="8" a="1"/>
  <c r="S66" i="8" a="1"/>
  <c r="T66" i="8" a="1"/>
  <c r="U66" i="8" a="1"/>
  <c r="V66" i="8" a="1"/>
  <c r="W66" i="8" a="1"/>
  <c r="X66" i="8" a="1"/>
  <c r="Y66" i="8" a="1"/>
  <c r="Z66" i="8" a="1"/>
  <c r="AA66" i="8" a="1"/>
  <c r="AB66" i="8" a="1"/>
  <c r="AC66" i="8" a="1"/>
  <c r="AD66" i="8" a="1"/>
  <c r="AE66" i="8" a="1"/>
  <c r="AF66" i="8" a="1"/>
  <c r="AG66" i="8" a="1"/>
  <c r="AH66" i="8" a="1"/>
  <c r="AI66" i="8" a="1"/>
  <c r="AJ66" i="8" a="1"/>
  <c r="AK66" i="8" a="1"/>
  <c r="AL66" i="8" a="1"/>
  <c r="AM66" i="8" a="1"/>
  <c r="AN66" i="8" a="1"/>
  <c r="AO66" i="8" a="1"/>
  <c r="AP66" i="8" a="1"/>
  <c r="AQ66" i="8" a="1"/>
  <c r="AR66" i="8" a="1"/>
  <c r="AS66" i="8" a="1"/>
  <c r="AT66" i="8" a="1"/>
  <c r="AU66" i="8" a="1"/>
  <c r="AV66" i="8" a="1"/>
  <c r="AW66" i="8" a="1"/>
  <c r="AX66" i="8" a="1"/>
  <c r="AY66" i="8" a="1"/>
  <c r="AZ66" i="8" a="1"/>
  <c r="BA66" i="8" a="1"/>
  <c r="BB66" i="8" a="1"/>
  <c r="BC66" i="8" a="1"/>
  <c r="BD66" i="8" a="1"/>
  <c r="BE66" i="8" a="1"/>
  <c r="BF66" i="8" a="1"/>
  <c r="BG66" i="8" a="1"/>
  <c r="BH66" i="8" a="1"/>
  <c r="BI66" i="8" a="1"/>
  <c r="BJ66" i="8" a="1"/>
  <c r="BK66" i="8" a="1"/>
  <c r="BL66" i="8" a="1"/>
  <c r="BM66" i="8" a="1"/>
  <c r="BN66" i="8" a="1"/>
  <c r="BO66" i="8" a="1"/>
  <c r="BP66" i="8" a="1"/>
  <c r="BQ66" i="8" a="1"/>
  <c r="BR66" i="8" a="1"/>
  <c r="BS66" i="8" a="1"/>
  <c r="BT66" i="8" a="1"/>
  <c r="BU66" i="8" a="1"/>
  <c r="BV66" i="8" a="1"/>
  <c r="BW66" i="8" a="1"/>
  <c r="BX66" i="8" a="1"/>
  <c r="BY66" i="8" a="1"/>
  <c r="BZ66" i="8" a="1"/>
  <c r="CA66" i="8" a="1"/>
  <c r="CB66" i="8" a="1"/>
  <c r="CC66" i="8" a="1"/>
  <c r="CD66" i="8" a="1"/>
  <c r="CE66" i="8" a="1"/>
  <c r="CF66" i="8" a="1"/>
  <c r="CG66" i="8" a="1"/>
  <c r="CH66" i="8" a="1"/>
  <c r="CI66" i="8" a="1"/>
  <c r="CJ66" i="8" a="1"/>
  <c r="CK66" i="8" a="1"/>
  <c r="CL66" i="8" a="1"/>
  <c r="CM66" i="8" a="1"/>
  <c r="CN66" i="8" a="1"/>
  <c r="CO66" i="8" a="1"/>
  <c r="CP66" i="8" a="1"/>
  <c r="CQ66" i="8" a="1"/>
  <c r="CR66" i="8" a="1"/>
  <c r="CS66" i="8" a="1"/>
  <c r="CT66" i="8" a="1"/>
  <c r="CU66" i="8" a="1"/>
  <c r="CV66" i="8" a="1"/>
  <c r="CW66" i="8" a="1"/>
  <c r="CX66" i="8" a="1"/>
  <c r="CY66" i="8" a="1"/>
  <c r="CZ66" i="8" a="1"/>
  <c r="DA66" i="8" a="1"/>
  <c r="DB66" i="8" a="1"/>
  <c r="DC66" i="8" a="1"/>
  <c r="DD66" i="8" a="1"/>
  <c r="E67" i="8" a="1"/>
  <c r="F67" i="8" a="1"/>
  <c r="G67" i="8" a="1"/>
  <c r="H67" i="8" a="1"/>
  <c r="I67" i="8" a="1"/>
  <c r="J67" i="8" a="1"/>
  <c r="K67" i="8" a="1"/>
  <c r="L67" i="8" a="1"/>
  <c r="M67" i="8" a="1"/>
  <c r="N67" i="8" a="1"/>
  <c r="O67" i="8" a="1"/>
  <c r="P67" i="8" a="1"/>
  <c r="Q67" i="8" a="1"/>
  <c r="R67" i="8" a="1"/>
  <c r="S67" i="8" a="1"/>
  <c r="T67" i="8" a="1"/>
  <c r="U67" i="8" a="1"/>
  <c r="V67" i="8" a="1"/>
  <c r="W67" i="8" a="1"/>
  <c r="X67" i="8" a="1"/>
  <c r="Y67" i="8" a="1"/>
  <c r="Z67" i="8" a="1"/>
  <c r="AA67" i="8" a="1"/>
  <c r="AB67" i="8" a="1"/>
  <c r="AC67" i="8" a="1"/>
  <c r="AD67" i="8" a="1"/>
  <c r="AE67" i="8" a="1"/>
  <c r="AF67" i="8" a="1"/>
  <c r="AG67" i="8" a="1"/>
  <c r="AH67" i="8" a="1"/>
  <c r="AI67" i="8" a="1"/>
  <c r="AJ67" i="8" a="1"/>
  <c r="AK67" i="8" a="1"/>
  <c r="AL67" i="8" a="1"/>
  <c r="AM67" i="8" a="1"/>
  <c r="AN67" i="8" a="1"/>
  <c r="AO67" i="8" a="1"/>
  <c r="AP67" i="8" a="1"/>
  <c r="AQ67" i="8" a="1"/>
  <c r="AR67" i="8" a="1"/>
  <c r="AS67" i="8" a="1"/>
  <c r="AT67" i="8" a="1"/>
  <c r="AU67" i="8" a="1"/>
  <c r="AV67" i="8" a="1"/>
  <c r="AW67" i="8" a="1"/>
  <c r="AX67" i="8" a="1"/>
  <c r="AY67" i="8" a="1"/>
  <c r="AZ67" i="8" a="1"/>
  <c r="BA67" i="8" a="1"/>
  <c r="BB67" i="8" a="1"/>
  <c r="BC67" i="8" a="1"/>
  <c r="BD67" i="8" a="1"/>
  <c r="BE67" i="8" a="1"/>
  <c r="BF67" i="8" a="1"/>
  <c r="BG67" i="8" a="1"/>
  <c r="BH67" i="8" a="1"/>
  <c r="BI67" i="8" a="1"/>
  <c r="BJ67" i="8" a="1"/>
  <c r="BK67" i="8" a="1"/>
  <c r="BL67" i="8" a="1"/>
  <c r="BM67" i="8" a="1"/>
  <c r="BN67" i="8" a="1"/>
  <c r="BO67" i="8" a="1"/>
  <c r="BP67" i="8" a="1"/>
  <c r="BQ67" i="8" a="1"/>
  <c r="BR67" i="8" a="1"/>
  <c r="BS67" i="8" a="1"/>
  <c r="BT67" i="8" a="1"/>
  <c r="BU67" i="8" a="1"/>
  <c r="BV67" i="8" a="1"/>
  <c r="BW67" i="8" a="1"/>
  <c r="BX67" i="8" a="1"/>
  <c r="BY67" i="8" a="1"/>
  <c r="BZ67" i="8" a="1"/>
  <c r="CA67" i="8" a="1"/>
  <c r="CB67" i="8" a="1"/>
  <c r="CC67" i="8" a="1"/>
  <c r="CD67" i="8" a="1"/>
  <c r="CE67" i="8" a="1"/>
  <c r="CF67" i="8" a="1"/>
  <c r="CG67" i="8" a="1"/>
  <c r="CH67" i="8" a="1"/>
  <c r="CI67" i="8" a="1"/>
  <c r="CJ67" i="8" a="1"/>
  <c r="CK67" i="8" a="1"/>
  <c r="CL67" i="8" a="1"/>
  <c r="CM67" i="8" a="1"/>
  <c r="CN67" i="8" a="1"/>
  <c r="CO67" i="8" a="1"/>
  <c r="CP67" i="8" a="1"/>
  <c r="CQ67" i="8" a="1"/>
  <c r="CR67" i="8" a="1"/>
  <c r="CS67" i="8" a="1"/>
  <c r="CT67" i="8" a="1"/>
  <c r="CU67" i="8" a="1"/>
  <c r="CV67" i="8" a="1"/>
  <c r="CW67" i="8" a="1"/>
  <c r="CX67" i="8" a="1"/>
  <c r="CY67" i="8" a="1"/>
  <c r="CZ67" i="8" a="1"/>
  <c r="DA67" i="8" a="1"/>
  <c r="DB67" i="8" a="1"/>
  <c r="DC67" i="8" a="1"/>
  <c r="DD67" i="8" a="1"/>
  <c r="E68" i="8" a="1"/>
  <c r="F68" i="8" a="1"/>
  <c r="G68" i="8" a="1"/>
  <c r="H68" i="8" a="1"/>
  <c r="I68" i="8" a="1"/>
  <c r="J68" i="8" a="1"/>
  <c r="K68" i="8" a="1"/>
  <c r="L68" i="8" a="1"/>
  <c r="M68" i="8" a="1"/>
  <c r="N68" i="8" a="1"/>
  <c r="O68" i="8" a="1"/>
  <c r="P68" i="8" a="1"/>
  <c r="Q68" i="8" a="1"/>
  <c r="R68" i="8" a="1"/>
  <c r="S68" i="8" a="1"/>
  <c r="T68" i="8" a="1"/>
  <c r="U68" i="8" a="1"/>
  <c r="V68" i="8" a="1"/>
  <c r="W68" i="8" a="1"/>
  <c r="X68" i="8" a="1"/>
  <c r="Y68" i="8" a="1"/>
  <c r="Z68" i="8" a="1"/>
  <c r="AA68" i="8" a="1"/>
  <c r="AB68" i="8" a="1"/>
  <c r="AC68" i="8" a="1"/>
  <c r="AD68" i="8" a="1"/>
  <c r="AE68" i="8" a="1"/>
  <c r="AF68" i="8" a="1"/>
  <c r="AG68" i="8" a="1"/>
  <c r="AH68" i="8" a="1"/>
  <c r="AI68" i="8" a="1"/>
  <c r="AJ68" i="8" a="1"/>
  <c r="AK68" i="8" a="1"/>
  <c r="AL68" i="8" a="1"/>
  <c r="AM68" i="8" a="1"/>
  <c r="AN68" i="8" a="1"/>
  <c r="AO68" i="8" a="1"/>
  <c r="AP68" i="8" a="1"/>
  <c r="AQ68" i="8" a="1"/>
  <c r="AR68" i="8" a="1"/>
  <c r="AS68" i="8" a="1"/>
  <c r="AT68" i="8" a="1"/>
  <c r="AU68" i="8" a="1"/>
  <c r="AV68" i="8" a="1"/>
  <c r="AW68" i="8" a="1"/>
  <c r="AX68" i="8" a="1"/>
  <c r="AY68" i="8" a="1"/>
  <c r="AZ68" i="8" a="1"/>
  <c r="BA68" i="8" a="1"/>
  <c r="BB68" i="8" a="1"/>
  <c r="BC68" i="8" a="1"/>
  <c r="BD68" i="8" a="1"/>
  <c r="BE68" i="8" a="1"/>
  <c r="BF68" i="8" a="1"/>
  <c r="BG68" i="8" a="1"/>
  <c r="BH68" i="8" a="1"/>
  <c r="BI68" i="8" a="1"/>
  <c r="BJ68" i="8" a="1"/>
  <c r="BK68" i="8" a="1"/>
  <c r="BL68" i="8" a="1"/>
  <c r="BM68" i="8" a="1"/>
  <c r="BN68" i="8" a="1"/>
  <c r="BO68" i="8" a="1"/>
  <c r="BP68" i="8" a="1"/>
  <c r="BQ68" i="8" a="1"/>
  <c r="BR68" i="8" a="1"/>
  <c r="BS68" i="8" a="1"/>
  <c r="BT68" i="8" a="1"/>
  <c r="BU68" i="8" a="1"/>
  <c r="BV68" i="8" a="1"/>
  <c r="BW68" i="8" a="1"/>
  <c r="BX68" i="8" a="1"/>
  <c r="BY68" i="8" a="1"/>
  <c r="BZ68" i="8" a="1"/>
  <c r="CA68" i="8" a="1"/>
  <c r="CB68" i="8" a="1"/>
  <c r="CC68" i="8" a="1"/>
  <c r="CD68" i="8" a="1"/>
  <c r="CE68" i="8" a="1"/>
  <c r="CF68" i="8" a="1"/>
  <c r="CG68" i="8" a="1"/>
  <c r="CH68" i="8" a="1"/>
  <c r="CI68" i="8" a="1"/>
  <c r="CJ68" i="8" a="1"/>
  <c r="CK68" i="8" a="1"/>
  <c r="CL68" i="8" a="1"/>
  <c r="CM68" i="8" a="1"/>
  <c r="CN68" i="8" a="1"/>
  <c r="CO68" i="8" a="1"/>
  <c r="CP68" i="8" a="1"/>
  <c r="CQ68" i="8" a="1"/>
  <c r="CR68" i="8" a="1"/>
  <c r="CS68" i="8" a="1"/>
  <c r="CT68" i="8" a="1"/>
  <c r="CU68" i="8" a="1"/>
  <c r="CV68" i="8" a="1"/>
  <c r="CW68" i="8" a="1"/>
  <c r="CX68" i="8" a="1"/>
  <c r="CY68" i="8" a="1"/>
  <c r="CZ68" i="8" a="1"/>
  <c r="DA68" i="8" a="1"/>
  <c r="DB68" i="8" a="1"/>
  <c r="DC68" i="8" a="1"/>
  <c r="DD68" i="8" a="1"/>
  <c r="E69" i="8" a="1"/>
  <c r="F69" i="8" a="1"/>
  <c r="G69" i="8" a="1"/>
  <c r="H69" i="8" a="1"/>
  <c r="I69" i="8" a="1"/>
  <c r="J69" i="8" a="1"/>
  <c r="K69" i="8" a="1"/>
  <c r="L69" i="8" a="1"/>
  <c r="M69" i="8" a="1"/>
  <c r="N69" i="8" a="1"/>
  <c r="O69" i="8" a="1"/>
  <c r="P69" i="8" a="1"/>
  <c r="Q69" i="8" a="1"/>
  <c r="R69" i="8" a="1"/>
  <c r="S69" i="8" a="1"/>
  <c r="T69" i="8" a="1"/>
  <c r="U69" i="8" a="1"/>
  <c r="V69" i="8" a="1"/>
  <c r="W69" i="8" a="1"/>
  <c r="X69" i="8" a="1"/>
  <c r="Y69" i="8" a="1"/>
  <c r="Z69" i="8" a="1"/>
  <c r="AA69" i="8" a="1"/>
  <c r="AB69" i="8" a="1"/>
  <c r="AC69" i="8" a="1"/>
  <c r="AD69" i="8" a="1"/>
  <c r="AE69" i="8" a="1"/>
  <c r="AF69" i="8" a="1"/>
  <c r="AG69" i="8" a="1"/>
  <c r="AH69" i="8" a="1"/>
  <c r="AI69" i="8" a="1"/>
  <c r="AJ69" i="8" a="1"/>
  <c r="AK69" i="8" a="1"/>
  <c r="AL69" i="8" a="1"/>
  <c r="AM69" i="8" a="1"/>
  <c r="AN69" i="8" a="1"/>
  <c r="AO69" i="8" a="1"/>
  <c r="AP69" i="8" a="1"/>
  <c r="AQ69" i="8" a="1"/>
  <c r="AR69" i="8" a="1"/>
  <c r="AS69" i="8" a="1"/>
  <c r="AT69" i="8" a="1"/>
  <c r="AU69" i="8" a="1"/>
  <c r="AV69" i="8" a="1"/>
  <c r="AW69" i="8" a="1"/>
  <c r="AX69" i="8" a="1"/>
  <c r="AY69" i="8" a="1"/>
  <c r="AZ69" i="8" a="1"/>
  <c r="BA69" i="8" a="1"/>
  <c r="BB69" i="8" a="1"/>
  <c r="BC69" i="8" a="1"/>
  <c r="BD69" i="8" a="1"/>
  <c r="BE69" i="8" a="1"/>
  <c r="BF69" i="8" a="1"/>
  <c r="BG69" i="8" a="1"/>
  <c r="BH69" i="8" a="1"/>
  <c r="BI69" i="8" a="1"/>
  <c r="BJ69" i="8" a="1"/>
  <c r="BK69" i="8" a="1"/>
  <c r="BL69" i="8" a="1"/>
  <c r="BM69" i="8" a="1"/>
  <c r="BN69" i="8" a="1"/>
  <c r="BO69" i="8" a="1"/>
  <c r="BP69" i="8" a="1"/>
  <c r="BQ69" i="8" a="1"/>
  <c r="BR69" i="8" a="1"/>
  <c r="BS69" i="8" a="1"/>
  <c r="BT69" i="8" a="1"/>
  <c r="BU69" i="8" a="1"/>
  <c r="BV69" i="8" a="1"/>
  <c r="BW69" i="8" a="1"/>
  <c r="BX69" i="8" a="1"/>
  <c r="BY69" i="8" a="1"/>
  <c r="BZ69" i="8" a="1"/>
  <c r="CA69" i="8" a="1"/>
  <c r="CB69" i="8" a="1"/>
  <c r="CC69" i="8" a="1"/>
  <c r="CD69" i="8" a="1"/>
  <c r="CE69" i="8" a="1"/>
  <c r="CF69" i="8" a="1"/>
  <c r="CG69" i="8" a="1"/>
  <c r="CH69" i="8" a="1"/>
  <c r="CI69" i="8" a="1"/>
  <c r="CJ69" i="8" a="1"/>
  <c r="CK69" i="8" a="1"/>
  <c r="CL69" i="8" a="1"/>
  <c r="CM69" i="8" a="1"/>
  <c r="CN69" i="8" a="1"/>
  <c r="CO69" i="8" a="1"/>
  <c r="CP69" i="8" a="1"/>
  <c r="CQ69" i="8" a="1"/>
  <c r="CR69" i="8" a="1"/>
  <c r="CS69" i="8" a="1"/>
  <c r="CT69" i="8" a="1"/>
  <c r="CU69" i="8" a="1"/>
  <c r="CV69" i="8" a="1"/>
  <c r="CW69" i="8" a="1"/>
  <c r="CX69" i="8" a="1"/>
  <c r="CY69" i="8" a="1"/>
  <c r="CZ69" i="8" a="1"/>
  <c r="DA69" i="8" a="1"/>
  <c r="DB69" i="8" a="1"/>
  <c r="DC69" i="8" a="1"/>
  <c r="DD69" i="8" a="1"/>
  <c r="E70" i="8" a="1"/>
  <c r="F70" i="8" a="1"/>
  <c r="G70" i="8" a="1"/>
  <c r="H70" i="8" a="1"/>
  <c r="I70" i="8" a="1"/>
  <c r="J70" i="8" a="1"/>
  <c r="K70" i="8" a="1"/>
  <c r="L70" i="8" a="1"/>
  <c r="M70" i="8" a="1"/>
  <c r="N70" i="8" a="1"/>
  <c r="O70" i="8" a="1"/>
  <c r="P70" i="8" a="1"/>
  <c r="Q70" i="8" a="1"/>
  <c r="R70" i="8" a="1"/>
  <c r="S70" i="8" a="1"/>
  <c r="T70" i="8" a="1"/>
  <c r="U70" i="8" a="1"/>
  <c r="V70" i="8" a="1"/>
  <c r="W70" i="8" a="1"/>
  <c r="X70" i="8" a="1"/>
  <c r="Y70" i="8" a="1"/>
  <c r="Z70" i="8" a="1"/>
  <c r="AA70" i="8" a="1"/>
  <c r="AB70" i="8" a="1"/>
  <c r="AC70" i="8" a="1"/>
  <c r="AD70" i="8" a="1"/>
  <c r="AE70" i="8" a="1"/>
  <c r="AF70" i="8" a="1"/>
  <c r="AG70" i="8" a="1"/>
  <c r="AH70" i="8" a="1"/>
  <c r="AI70" i="8" a="1"/>
  <c r="AJ70" i="8" a="1"/>
  <c r="AK70" i="8" a="1"/>
  <c r="AL70" i="8" a="1"/>
  <c r="AM70" i="8" a="1"/>
  <c r="AN70" i="8" a="1"/>
  <c r="AO70" i="8" a="1"/>
  <c r="AP70" i="8" a="1"/>
  <c r="AQ70" i="8" a="1"/>
  <c r="AR70" i="8" a="1"/>
  <c r="AS70" i="8" a="1"/>
  <c r="AT70" i="8" a="1"/>
  <c r="AU70" i="8" a="1"/>
  <c r="AV70" i="8" a="1"/>
  <c r="AW70" i="8" a="1"/>
  <c r="AX70" i="8" a="1"/>
  <c r="AY70" i="8" a="1"/>
  <c r="AZ70" i="8" a="1"/>
  <c r="BA70" i="8" a="1"/>
  <c r="BB70" i="8" a="1"/>
  <c r="BC70" i="8" a="1"/>
  <c r="BD70" i="8" a="1"/>
  <c r="BE70" i="8" a="1"/>
  <c r="BF70" i="8" a="1"/>
  <c r="BG70" i="8" a="1"/>
  <c r="BH70" i="8" a="1"/>
  <c r="BI70" i="8" a="1"/>
  <c r="BJ70" i="8" a="1"/>
  <c r="BK70" i="8" a="1"/>
  <c r="BL70" i="8" a="1"/>
  <c r="BM70" i="8" a="1"/>
  <c r="BN70" i="8" a="1"/>
  <c r="BO70" i="8" a="1"/>
  <c r="BP70" i="8" a="1"/>
  <c r="BQ70" i="8" a="1"/>
  <c r="BR70" i="8" a="1"/>
  <c r="BS70" i="8" a="1"/>
  <c r="BT70" i="8" a="1"/>
  <c r="BU70" i="8" a="1"/>
  <c r="BV70" i="8" a="1"/>
  <c r="BW70" i="8" a="1"/>
  <c r="BX70" i="8" a="1"/>
  <c r="BY70" i="8" a="1"/>
  <c r="BZ70" i="8" a="1"/>
  <c r="CA70" i="8" a="1"/>
  <c r="CB70" i="8" a="1"/>
  <c r="CC70" i="8" a="1"/>
  <c r="CD70" i="8" a="1"/>
  <c r="CE70" i="8" a="1"/>
  <c r="CF70" i="8" a="1"/>
  <c r="CG70" i="8" a="1"/>
  <c r="CH70" i="8" a="1"/>
  <c r="CI70" i="8" a="1"/>
  <c r="CJ70" i="8" a="1"/>
  <c r="CK70" i="8" a="1"/>
  <c r="CL70" i="8" a="1"/>
  <c r="CM70" i="8" a="1"/>
  <c r="CN70" i="8" a="1"/>
  <c r="CO70" i="8" a="1"/>
  <c r="CP70" i="8" a="1"/>
  <c r="CQ70" i="8" a="1"/>
  <c r="CR70" i="8" a="1"/>
  <c r="CS70" i="8" a="1"/>
  <c r="CT70" i="8" a="1"/>
  <c r="CU70" i="8" a="1"/>
  <c r="CV70" i="8" a="1"/>
  <c r="CW70" i="8" a="1"/>
  <c r="CX70" i="8" a="1"/>
  <c r="CY70" i="8" a="1"/>
  <c r="CZ70" i="8" a="1"/>
  <c r="DA70" i="8" a="1"/>
  <c r="DB70" i="8" a="1"/>
  <c r="DC70" i="8" a="1"/>
  <c r="DD70" i="8" a="1"/>
  <c r="F56" i="8" a="1"/>
  <c r="G56" i="8" a="1"/>
  <c r="H56" i="8" a="1"/>
  <c r="I56" i="8" a="1"/>
  <c r="J56" i="8" a="1"/>
  <c r="K56" i="8" a="1"/>
  <c r="L56" i="8" a="1"/>
  <c r="M56" i="8" a="1"/>
  <c r="N56" i="8" a="1"/>
  <c r="O56" i="8" a="1"/>
  <c r="P56" i="8" a="1"/>
  <c r="Q56" i="8" a="1"/>
  <c r="R56" i="8" a="1"/>
  <c r="S56" i="8" a="1"/>
  <c r="T56" i="8" a="1"/>
  <c r="U56" i="8" a="1"/>
  <c r="V56" i="8" a="1"/>
  <c r="W56" i="8" a="1"/>
  <c r="X56" i="8" a="1"/>
  <c r="Y56" i="8" a="1"/>
  <c r="Z56" i="8" a="1"/>
  <c r="AA56" i="8" a="1"/>
  <c r="AB56" i="8" a="1"/>
  <c r="AC56" i="8" a="1"/>
  <c r="AD56" i="8" a="1"/>
  <c r="AE56" i="8" a="1"/>
  <c r="AF56" i="8" a="1"/>
  <c r="AG56" i="8" a="1"/>
  <c r="AH56" i="8" a="1"/>
  <c r="AI56" i="8" a="1"/>
  <c r="AJ56" i="8" a="1"/>
  <c r="AK56" i="8" a="1"/>
  <c r="AL56" i="8" a="1"/>
  <c r="AM56" i="8" a="1"/>
  <c r="AN56" i="8" a="1"/>
  <c r="AO56" i="8" a="1"/>
  <c r="AP56" i="8" a="1"/>
  <c r="AQ56" i="8" a="1"/>
  <c r="AR56" i="8" a="1"/>
  <c r="AS56" i="8" a="1"/>
  <c r="AT56" i="8" a="1"/>
  <c r="AU56" i="8" a="1"/>
  <c r="AV56" i="8" a="1"/>
  <c r="AW56" i="8" a="1"/>
  <c r="AX56" i="8" a="1"/>
  <c r="AY56" i="8" a="1"/>
  <c r="AZ56" i="8" a="1"/>
  <c r="BA56" i="8" a="1"/>
  <c r="BB56" i="8" a="1"/>
  <c r="BC56" i="8" a="1"/>
  <c r="BD56" i="8" a="1"/>
  <c r="BE56" i="8" a="1"/>
  <c r="BF56" i="8" a="1"/>
  <c r="BG56" i="8" a="1"/>
  <c r="BH56" i="8" a="1"/>
  <c r="BI56" i="8" a="1"/>
  <c r="BJ56" i="8" a="1"/>
  <c r="BK56" i="8" a="1"/>
  <c r="BL56" i="8" a="1"/>
  <c r="BM56" i="8" a="1"/>
  <c r="BN56" i="8" a="1"/>
  <c r="BO56" i="8" a="1"/>
  <c r="BP56" i="8" a="1"/>
  <c r="BQ56" i="8" a="1"/>
  <c r="BR56" i="8" a="1"/>
  <c r="BS56" i="8" a="1"/>
  <c r="BT56" i="8" a="1"/>
  <c r="BU56" i="8" a="1"/>
  <c r="BV56" i="8" a="1"/>
  <c r="BW56" i="8" a="1"/>
  <c r="BX56" i="8" a="1"/>
  <c r="BY56" i="8" a="1"/>
  <c r="BZ56" i="8" a="1"/>
  <c r="CA56" i="8" a="1"/>
  <c r="CB56" i="8" a="1"/>
  <c r="CC56" i="8" a="1"/>
  <c r="CD56" i="8" a="1"/>
  <c r="CE56" i="8" a="1"/>
  <c r="CF56" i="8" a="1"/>
  <c r="CG56" i="8" a="1"/>
  <c r="CH56" i="8" a="1"/>
  <c r="CI56" i="8" a="1"/>
  <c r="CJ56" i="8" a="1"/>
  <c r="CK56" i="8" a="1"/>
  <c r="CL56" i="8" a="1"/>
  <c r="CM56" i="8" a="1"/>
  <c r="CN56" i="8" a="1"/>
  <c r="CO56" i="8" a="1"/>
  <c r="CP56" i="8" a="1"/>
  <c r="CQ56" i="8" a="1"/>
  <c r="CR56" i="8" a="1"/>
  <c r="CS56" i="8" a="1"/>
  <c r="CT56" i="8" a="1"/>
  <c r="CU56" i="8" a="1"/>
  <c r="CV56" i="8" a="1"/>
  <c r="CW56" i="8" a="1"/>
  <c r="CX56" i="8" a="1"/>
  <c r="CY56" i="8" a="1"/>
  <c r="CZ56" i="8" a="1"/>
  <c r="DA56" i="8" a="1"/>
  <c r="DB56" i="8" a="1"/>
  <c r="DC56" i="8" a="1"/>
  <c r="DD56" i="8" a="1"/>
  <c r="E56" i="8" a="1"/>
  <c r="DG23" i="8"/>
  <c r="DG24" i="8"/>
  <c r="DE53" i="8" a="1"/>
  <c r="DG53" i="8"/>
  <c r="DH53" i="8" a="1"/>
  <c r="DE52" i="8" a="1"/>
  <c r="DG52" i="8"/>
  <c r="DH52" i="8" a="1"/>
  <c r="DE54" i="8" a="1"/>
  <c r="DE55" i="8" a="1"/>
  <c r="DH54" i="8" a="1"/>
  <c r="DH55" i="8" a="1"/>
  <c r="DG13" i="8"/>
  <c r="DG14" i="8"/>
  <c r="DG15" i="8"/>
  <c r="DG16" i="8"/>
  <c r="DG17" i="8"/>
  <c r="DG18" i="8"/>
  <c r="DG51" i="8"/>
  <c r="DG19" i="8"/>
  <c r="DG20" i="8"/>
  <c r="DG21" i="8"/>
  <c r="DG22" i="8"/>
  <c r="DG25" i="8"/>
  <c r="DG27" i="8"/>
  <c r="DG28" i="8"/>
  <c r="DG29" i="8"/>
  <c r="DG32" i="8"/>
  <c r="DG31" i="8"/>
  <c r="DG33" i="8"/>
  <c r="DG35" i="8"/>
  <c r="DG34" i="8"/>
  <c r="DG36" i="8"/>
  <c r="DG37" i="8"/>
  <c r="DG38" i="8"/>
  <c r="DG39" i="8"/>
  <c r="DG48" i="8"/>
  <c r="DG41" i="8"/>
  <c r="DG40" i="8"/>
  <c r="DG42" i="8"/>
  <c r="DG44" i="8"/>
  <c r="DG45" i="8"/>
  <c r="DG47" i="8"/>
  <c r="DG43" i="8"/>
  <c r="DG46" i="8"/>
  <c r="DG54" i="8"/>
  <c r="DG55" i="8"/>
  <c r="DG30" i="8"/>
  <c r="DG26" i="8" l="1"/>
  <c r="E2" i="8"/>
  <c r="A1" i="8" l="1"/>
  <c r="DF12" i="8" s="1"/>
  <c r="DF23" i="8" l="1"/>
  <c r="DF53" i="8"/>
  <c r="DF52" i="8"/>
  <c r="DF55" i="8"/>
  <c r="DF54" i="8"/>
  <c r="F2" i="8"/>
  <c r="E3" i="8"/>
  <c r="E1" i="8"/>
  <c r="DH43" i="8" l="1" a="1"/>
  <c r="DH13" i="8" a="1"/>
  <c r="DH14" i="8" a="1"/>
  <c r="DH15" i="8" a="1"/>
  <c r="F4" i="8"/>
  <c r="F1" i="8" s="1"/>
  <c r="G2" i="8"/>
  <c r="F3" i="8"/>
  <c r="DH51" i="8" l="1" a="1"/>
  <c r="DH7" i="8" a="1"/>
  <c r="DH6" i="8" a="1"/>
  <c r="DH23" i="8" a="1"/>
  <c r="DH49" i="8" a="1"/>
  <c r="DH50" i="8" a="1"/>
  <c r="DH33" i="8" a="1"/>
  <c r="DH27" i="8" a="1"/>
  <c r="DH28" i="8" a="1"/>
  <c r="G4" i="8"/>
  <c r="G1" i="8" s="1"/>
  <c r="G3" i="8"/>
  <c r="H2" i="8"/>
  <c r="DH9" i="8" s="1" a="1"/>
  <c r="DH24" i="8" l="1" a="1"/>
  <c r="DH8" i="8" a="1"/>
  <c r="DE7" i="8" a="1"/>
  <c r="DF7" i="8" s="1"/>
  <c r="DE6" i="8" a="1"/>
  <c r="DF6" i="8" s="1"/>
  <c r="DE23" i="8" a="1"/>
  <c r="DE51" i="8" a="1"/>
  <c r="DF51" i="8" s="1"/>
  <c r="DE49" i="8" a="1"/>
  <c r="DF49" i="8" s="1"/>
  <c r="DE50" i="8" a="1"/>
  <c r="DF50" i="8" s="1"/>
  <c r="DE27" i="8" a="1"/>
  <c r="DF27" i="8" s="1"/>
  <c r="DE43" i="8" a="1"/>
  <c r="DF43" i="8" s="1"/>
  <c r="H4" i="8"/>
  <c r="H1" i="8" s="1"/>
  <c r="I2" i="8"/>
  <c r="H3" i="8"/>
  <c r="DE9" i="8" s="1" a="1"/>
  <c r="DF9" i="8" s="1"/>
  <c r="DH10" i="8" l="1" a="1"/>
  <c r="DH11" i="8" a="1"/>
  <c r="DE24" i="8" a="1"/>
  <c r="DF24" i="8" s="1"/>
  <c r="DE8" i="8" a="1"/>
  <c r="DF8" i="8" s="1"/>
  <c r="DE28" i="8" a="1"/>
  <c r="DF28" i="8" s="1"/>
  <c r="DE33" i="8" a="1"/>
  <c r="DF33" i="8" s="1"/>
  <c r="DH25" i="8" a="1"/>
  <c r="DH19" i="8" a="1"/>
  <c r="I4" i="8"/>
  <c r="I1" i="8" s="1"/>
  <c r="J2" i="8"/>
  <c r="I3" i="8"/>
  <c r="DE10" i="8" s="1" a="1"/>
  <c r="DF10" i="8" s="1"/>
  <c r="DE25" i="8" l="1" a="1"/>
  <c r="DF25" i="8" s="1"/>
  <c r="DE19" i="8" a="1"/>
  <c r="DF19" i="8" s="1"/>
  <c r="DH26" i="8" a="1"/>
  <c r="K2" i="8"/>
  <c r="DH37" i="8" s="1" a="1"/>
  <c r="J3" i="8"/>
  <c r="DE11" i="8" s="1" a="1"/>
  <c r="DF11" i="8" s="1"/>
  <c r="J4" i="8"/>
  <c r="J1" i="8" s="1"/>
  <c r="DH20" i="8" l="1" a="1"/>
  <c r="DE26" i="8" a="1"/>
  <c r="DF26" i="8" s="1"/>
  <c r="DH44" i="8" a="1"/>
  <c r="DH45" i="8" a="1"/>
  <c r="DH46" i="8" a="1"/>
  <c r="DH48" i="8" a="1"/>
  <c r="DH29" i="8" a="1"/>
  <c r="DH41" i="8" a="1"/>
  <c r="DH40" i="8" a="1"/>
  <c r="K4" i="8"/>
  <c r="K1" i="8" s="1"/>
  <c r="L2" i="8"/>
  <c r="DH21" i="8" s="1" a="1"/>
  <c r="K3" i="8"/>
  <c r="DE37" i="8" s="1" a="1"/>
  <c r="DF37" i="8" s="1"/>
  <c r="DH38" i="8" l="1" a="1"/>
  <c r="DE20" i="8" a="1"/>
  <c r="DF20" i="8" s="1"/>
  <c r="DE41" i="8" a="1"/>
  <c r="DF41" i="8" s="1"/>
  <c r="DE45" i="8" a="1"/>
  <c r="DF45" i="8" s="1"/>
  <c r="L4" i="8"/>
  <c r="L1" i="8" s="1"/>
  <c r="L3" i="8"/>
  <c r="DE38" i="8" s="1" a="1"/>
  <c r="DF38" i="8" s="1"/>
  <c r="M2" i="8"/>
  <c r="DH39" i="8" s="1" a="1"/>
  <c r="DE21" i="8" l="1" a="1"/>
  <c r="DF21" i="8" s="1"/>
  <c r="DH22" i="8" a="1"/>
  <c r="DE44" i="8" a="1"/>
  <c r="DF44" i="8" s="1"/>
  <c r="DE13" i="8" a="1"/>
  <c r="DE14" i="8" a="1"/>
  <c r="DF14" i="8" s="1"/>
  <c r="DE15" i="8" a="1"/>
  <c r="DF15" i="8" s="1"/>
  <c r="DE22" i="8" a="1"/>
  <c r="DF22" i="8" s="1"/>
  <c r="M3" i="8"/>
  <c r="N2" i="8"/>
  <c r="M4" i="8"/>
  <c r="M1" i="8" s="1"/>
  <c r="DE29" i="8" l="1" a="1"/>
  <c r="DF29" i="8" s="1"/>
  <c r="DE46" i="8" a="1"/>
  <c r="DF46" i="8" s="1"/>
  <c r="N3" i="8"/>
  <c r="O2" i="8"/>
  <c r="N4" i="8"/>
  <c r="N1" i="8" s="1"/>
  <c r="O3" i="8" l="1"/>
  <c r="O4" i="8"/>
  <c r="O1" i="8" s="1"/>
  <c r="P2" i="8"/>
  <c r="DH35" i="8" l="1" a="1"/>
  <c r="DH34" i="8" a="1"/>
  <c r="Q2" i="8"/>
  <c r="P3" i="8"/>
  <c r="P4" i="8"/>
  <c r="P1" i="8" s="1"/>
  <c r="DH16" i="8" l="1" a="1"/>
  <c r="DH30" i="8" a="1"/>
  <c r="Q3" i="8"/>
  <c r="DE40" i="8" s="1" a="1"/>
  <c r="DF40" i="8" s="1"/>
  <c r="Q4" i="8"/>
  <c r="Q1" i="8" s="1"/>
  <c r="R2" i="8"/>
  <c r="DH42" i="8" s="1" a="1"/>
  <c r="R3" i="8" l="1"/>
  <c r="DE48" i="8" s="1" a="1"/>
  <c r="DF48" i="8" s="1"/>
  <c r="R4" i="8"/>
  <c r="R1" i="8" s="1"/>
  <c r="S2" i="8"/>
  <c r="DE42" i="8" l="1" a="1"/>
  <c r="DF42" i="8" s="1"/>
  <c r="DE35" i="8" a="1"/>
  <c r="DF35" i="8" s="1"/>
  <c r="DE34" i="8" a="1"/>
  <c r="DF34" i="8" s="1"/>
  <c r="DE30" i="8" a="1"/>
  <c r="DF30" i="8" s="1"/>
  <c r="DH36" i="8" a="1"/>
  <c r="DH32" i="8" a="1"/>
  <c r="DH31" i="8" a="1"/>
  <c r="S3" i="8"/>
  <c r="S4" i="8"/>
  <c r="S1" i="8" s="1"/>
  <c r="T2" i="8"/>
  <c r="DH47" i="8" s="1" a="1"/>
  <c r="DE31" i="8" l="1" a="1"/>
  <c r="DF31" i="8" s="1"/>
  <c r="DE32" i="8" a="1"/>
  <c r="DF32" i="8" s="1"/>
  <c r="DE36" i="8" a="1"/>
  <c r="DF36" i="8" s="1"/>
  <c r="T3" i="8"/>
  <c r="T4" i="8"/>
  <c r="T1" i="8" s="1"/>
  <c r="U2" i="8"/>
  <c r="DE47" i="8" l="1" a="1"/>
  <c r="DF47" i="8" s="1"/>
  <c r="DE39" i="8" a="1"/>
  <c r="DF39" i="8" s="1"/>
  <c r="U3" i="8"/>
  <c r="DE16" i="8" s="1" a="1"/>
  <c r="DF16" i="8" s="1"/>
  <c r="U4" i="8"/>
  <c r="U1" i="8" s="1"/>
  <c r="V2" i="8"/>
  <c r="DH17" i="8" s="1" a="1"/>
  <c r="V4" i="8" l="1"/>
  <c r="V1" i="8" s="1"/>
  <c r="V3" i="8"/>
  <c r="W2" i="8"/>
  <c r="X2" i="8" l="1"/>
  <c r="W4" i="8"/>
  <c r="W1" i="8" s="1"/>
  <c r="W3" i="8"/>
  <c r="X4" i="8" l="1"/>
  <c r="X1" i="8" s="1"/>
  <c r="Y2" i="8"/>
  <c r="X3" i="8"/>
  <c r="Z2" i="8" l="1"/>
  <c r="Y4" i="8"/>
  <c r="Y1" i="8" s="1"/>
  <c r="Y3" i="8"/>
  <c r="Z4" i="8" l="1"/>
  <c r="Z1" i="8" s="1"/>
  <c r="Z3" i="8"/>
  <c r="AA2" i="8"/>
  <c r="AB2" i="8" l="1"/>
  <c r="AA4" i="8"/>
  <c r="AA1" i="8" s="1"/>
  <c r="AA3" i="8"/>
  <c r="AC2" i="8" l="1"/>
  <c r="AB4" i="8"/>
  <c r="AB1" i="8" s="1"/>
  <c r="AB3" i="8"/>
  <c r="AC3" i="8" l="1"/>
  <c r="DE17" i="8" s="1" a="1"/>
  <c r="DF17" i="8" s="1"/>
  <c r="AD2" i="8"/>
  <c r="DH18" i="8" s="1" a="1"/>
  <c r="AC4" i="8"/>
  <c r="AC1" i="8" s="1"/>
  <c r="AD3" i="8" l="1"/>
  <c r="AE2" i="8"/>
  <c r="AD4" i="8"/>
  <c r="AD1" i="8" s="1"/>
  <c r="AF2" i="8" l="1"/>
  <c r="AE3" i="8"/>
  <c r="AE4" i="8"/>
  <c r="AE1" i="8" s="1"/>
  <c r="AG2" i="8" l="1"/>
  <c r="AF3" i="8"/>
  <c r="AF4" i="8"/>
  <c r="AF1" i="8" s="1"/>
  <c r="AG3" i="8" l="1"/>
  <c r="DE18" i="8" s="1" a="1"/>
  <c r="DF18" i="8" s="1"/>
  <c r="AH2" i="8"/>
  <c r="AG4" i="8"/>
  <c r="AG1" i="8" s="1"/>
  <c r="AI2" i="8" l="1"/>
  <c r="AH4" i="8"/>
  <c r="AH1" i="8" s="1"/>
  <c r="AH3" i="8"/>
  <c r="AI3" i="8" l="1"/>
  <c r="AI4" i="8"/>
  <c r="AI1" i="8" s="1"/>
  <c r="AJ2" i="8"/>
  <c r="AJ3" i="8" l="1"/>
  <c r="AJ4" i="8"/>
  <c r="AJ1" i="8" s="1"/>
  <c r="AK2" i="8"/>
  <c r="AK4" i="8" l="1"/>
  <c r="AK1" i="8" s="1"/>
  <c r="AL2" i="8"/>
  <c r="AK3" i="8"/>
  <c r="AM2" i="8" l="1"/>
  <c r="AL3" i="8"/>
  <c r="AL4" i="8"/>
  <c r="AL1" i="8" s="1"/>
  <c r="AM3" i="8" l="1"/>
  <c r="AM4" i="8"/>
  <c r="AM1" i="8" s="1"/>
  <c r="AN2" i="8"/>
  <c r="AN3" i="8" l="1"/>
  <c r="AO2" i="8"/>
  <c r="AN4" i="8"/>
  <c r="AN1" i="8" s="1"/>
  <c r="AO4" i="8" l="1"/>
  <c r="AO1" i="8" s="1"/>
  <c r="AP2" i="8"/>
  <c r="AO3" i="8"/>
  <c r="AP3" i="8" l="1"/>
  <c r="AP4" i="8"/>
  <c r="AP1" i="8" s="1"/>
  <c r="AQ2" i="8"/>
  <c r="AR2" i="8" l="1"/>
  <c r="AQ3" i="8"/>
  <c r="AQ4" i="8"/>
  <c r="AQ1" i="8" s="1"/>
  <c r="AS2" i="8" l="1"/>
  <c r="AR4" i="8"/>
  <c r="AR1" i="8" s="1"/>
  <c r="AR3" i="8"/>
  <c r="AS3" i="8" l="1"/>
  <c r="AT2" i="8"/>
  <c r="AS4" i="8"/>
  <c r="AS1" i="8" s="1"/>
  <c r="AT4" i="8" l="1"/>
  <c r="AT1" i="8" s="1"/>
  <c r="AT3" i="8"/>
  <c r="AU2" i="8"/>
  <c r="AU3" i="8" l="1"/>
  <c r="AU4" i="8"/>
  <c r="AU1" i="8" s="1"/>
  <c r="AV2" i="8"/>
  <c r="AV3" i="8" l="1"/>
  <c r="AV4" i="8"/>
  <c r="AV1" i="8" s="1"/>
  <c r="AW2" i="8"/>
  <c r="AW4" i="8" l="1"/>
  <c r="AW1" i="8" s="1"/>
  <c r="AW3" i="8"/>
  <c r="AX2" i="8"/>
  <c r="AX3" i="8" l="1"/>
  <c r="AY2" i="8"/>
  <c r="AX4" i="8"/>
  <c r="AX1" i="8" s="1"/>
  <c r="AZ2" i="8" l="1"/>
  <c r="AY3" i="8"/>
  <c r="AY4" i="8"/>
  <c r="AY1" i="8" s="1"/>
  <c r="AZ3" i="8" l="1"/>
  <c r="BA2" i="8"/>
  <c r="AZ4" i="8"/>
  <c r="AZ1" i="8" s="1"/>
  <c r="BA3" i="8" l="1"/>
  <c r="BB2" i="8"/>
  <c r="BA4" i="8"/>
  <c r="BA1" i="8" s="1"/>
  <c r="BB3" i="8" l="1"/>
  <c r="BC2" i="8"/>
  <c r="BB4" i="8"/>
  <c r="BB1" i="8" s="1"/>
  <c r="BD2" i="8" l="1"/>
  <c r="BC3" i="8"/>
  <c r="BC4" i="8"/>
  <c r="BC1" i="8" s="1"/>
  <c r="BE2" i="8" l="1"/>
  <c r="BD3" i="8"/>
  <c r="BD4" i="8"/>
  <c r="BD1" i="8" s="1"/>
  <c r="BE3" i="8" l="1"/>
  <c r="BF2" i="8"/>
  <c r="BE4" i="8"/>
  <c r="BE1" i="8" s="1"/>
  <c r="BG2" i="8" l="1"/>
  <c r="BF4" i="8"/>
  <c r="BF1" i="8" s="1"/>
  <c r="BF3" i="8"/>
  <c r="BG3" i="8" l="1"/>
  <c r="BG4" i="8"/>
  <c r="BG1" i="8" s="1"/>
  <c r="BH2" i="8"/>
  <c r="BH3" i="8" l="1"/>
  <c r="BI2" i="8"/>
  <c r="BH4" i="8"/>
  <c r="BH1" i="8" s="1"/>
  <c r="BI4" i="8" l="1"/>
  <c r="BI1" i="8" s="1"/>
  <c r="BJ2" i="8"/>
  <c r="BI3" i="8"/>
  <c r="BJ4" i="8" l="1"/>
  <c r="BJ1" i="8" s="1"/>
  <c r="BK2" i="8"/>
  <c r="BJ3" i="8"/>
  <c r="BK4" i="8" l="1"/>
  <c r="BK1" i="8" s="1"/>
  <c r="BL2" i="8"/>
  <c r="BK3" i="8"/>
  <c r="BM2" i="8" l="1"/>
  <c r="BL3" i="8"/>
  <c r="BL4" i="8"/>
  <c r="BL1" i="8" s="1"/>
  <c r="BM4" i="8" l="1"/>
  <c r="BM1" i="8" s="1"/>
  <c r="BM3" i="8"/>
  <c r="BN2" i="8"/>
  <c r="BO2" i="8" s="1"/>
  <c r="BN3" i="8" l="1"/>
  <c r="BN4" i="8"/>
  <c r="BN1" i="8" s="1"/>
  <c r="BO3" i="8"/>
  <c r="BO4" i="8"/>
  <c r="BO1" i="8" s="1"/>
  <c r="BP2" i="8"/>
  <c r="BP3" i="8" l="1"/>
  <c r="BP4" i="8"/>
  <c r="BP1" i="8" s="1"/>
  <c r="BQ2" i="8"/>
  <c r="BQ4" i="8" l="1"/>
  <c r="BQ1" i="8" s="1"/>
  <c r="BR2" i="8"/>
  <c r="BQ3" i="8"/>
  <c r="BR3" i="8" l="1"/>
  <c r="BR4" i="8"/>
  <c r="BR1" i="8" s="1"/>
  <c r="BS2" i="8"/>
  <c r="BT2" i="8" l="1"/>
  <c r="BS4" i="8"/>
  <c r="BS1" i="8" s="1"/>
  <c r="BS3" i="8"/>
  <c r="BU2" i="8" l="1"/>
  <c r="BT3" i="8"/>
  <c r="BT4" i="8"/>
  <c r="BT1" i="8" s="1"/>
  <c r="BU3" i="8" l="1"/>
  <c r="BU4" i="8"/>
  <c r="BU1" i="8" s="1"/>
  <c r="BV2" i="8"/>
  <c r="BW2" i="8" l="1"/>
  <c r="BV3" i="8"/>
  <c r="BV4" i="8"/>
  <c r="BV1" i="8" s="1"/>
  <c r="BX2" i="8" l="1"/>
  <c r="BW3" i="8"/>
  <c r="BW4" i="8"/>
  <c r="BW1" i="8" s="1"/>
  <c r="BY2" i="8" l="1"/>
  <c r="BX3" i="8"/>
  <c r="BX4" i="8"/>
  <c r="BX1" i="8" s="1"/>
  <c r="BZ2" i="8" l="1"/>
  <c r="BY3" i="8"/>
  <c r="BY4" i="8"/>
  <c r="BY1" i="8" s="1"/>
  <c r="BZ4" i="8" l="1"/>
  <c r="BZ1" i="8" s="1"/>
  <c r="CA2" i="8"/>
  <c r="BZ3" i="8"/>
  <c r="CA4" i="8" l="1"/>
  <c r="CA1" i="8" s="1"/>
  <c r="CB2" i="8"/>
  <c r="CA3" i="8"/>
  <c r="CB4" i="8" l="1"/>
  <c r="CB1" i="8" s="1"/>
  <c r="CC2" i="8"/>
  <c r="CB3" i="8"/>
  <c r="CD2" i="8" l="1"/>
  <c r="CC3" i="8"/>
  <c r="CC4" i="8"/>
  <c r="CC1" i="8" s="1"/>
  <c r="CE2" i="8" l="1"/>
  <c r="CD4" i="8"/>
  <c r="CD1" i="8" s="1"/>
  <c r="CD3" i="8"/>
  <c r="CE3" i="8" l="1"/>
  <c r="CE4" i="8"/>
  <c r="CE1" i="8" s="1"/>
  <c r="CF2" i="8"/>
  <c r="CF3" i="8" l="1"/>
  <c r="CF4" i="8"/>
  <c r="CF1" i="8" s="1"/>
  <c r="CG2" i="8"/>
  <c r="CG3" i="8" l="1"/>
  <c r="CG4" i="8"/>
  <c r="CG1" i="8" s="1"/>
  <c r="CH2" i="8"/>
  <c r="CH4" i="8" l="1"/>
  <c r="CH1" i="8" s="1"/>
  <c r="CI2" i="8"/>
  <c r="CH3" i="8"/>
  <c r="CJ2" i="8" l="1"/>
  <c r="CI4" i="8"/>
  <c r="CI1" i="8" s="1"/>
  <c r="CI3" i="8"/>
  <c r="CK2" i="8" l="1"/>
  <c r="CJ3" i="8"/>
  <c r="CJ4" i="8"/>
  <c r="CJ1" i="8" s="1"/>
  <c r="CK3" i="8" l="1"/>
  <c r="CK4" i="8"/>
  <c r="CK1" i="8" s="1"/>
  <c r="CL2" i="8"/>
  <c r="CL3" i="8" l="1"/>
  <c r="CL4" i="8"/>
  <c r="CL1" i="8" s="1"/>
  <c r="CM2" i="8"/>
  <c r="CM3" i="8" l="1"/>
  <c r="CM4" i="8"/>
  <c r="CM1" i="8" s="1"/>
  <c r="CN2" i="8"/>
  <c r="CO2" i="8" l="1"/>
  <c r="CN3" i="8"/>
  <c r="CN4" i="8"/>
  <c r="CN1" i="8" s="1"/>
  <c r="CP2" i="8" l="1"/>
  <c r="CO3" i="8"/>
  <c r="CO4" i="8"/>
  <c r="CO1" i="8" s="1"/>
  <c r="CP4" i="8" l="1"/>
  <c r="CP1" i="8" s="1"/>
  <c r="CQ2" i="8"/>
  <c r="CP3" i="8"/>
  <c r="CQ4" i="8" l="1"/>
  <c r="CQ1" i="8" s="1"/>
  <c r="CR2" i="8"/>
  <c r="CQ3" i="8"/>
  <c r="CS2" i="8" l="1"/>
  <c r="CR3" i="8"/>
  <c r="CR4" i="8"/>
  <c r="CR1" i="8" s="1"/>
  <c r="CS4" i="8" l="1"/>
  <c r="CS1" i="8" s="1"/>
  <c r="CS3" i="8"/>
  <c r="CT2" i="8"/>
  <c r="CU2" i="8" l="1"/>
  <c r="CT3" i="8"/>
  <c r="CT4" i="8"/>
  <c r="CT1" i="8" s="1"/>
  <c r="CU3" i="8" l="1"/>
  <c r="CU4" i="8"/>
  <c r="CU1" i="8" s="1"/>
  <c r="CV2" i="8"/>
  <c r="CV3" i="8" l="1"/>
  <c r="CV4" i="8"/>
  <c r="CV1" i="8" s="1"/>
  <c r="CW2" i="8"/>
  <c r="CW4" i="8" l="1"/>
  <c r="CW1" i="8" s="1"/>
  <c r="CX2" i="8"/>
  <c r="CW3" i="8"/>
  <c r="CX3" i="8" l="1"/>
  <c r="CX4" i="8"/>
  <c r="CX1" i="8" s="1"/>
  <c r="CY2" i="8"/>
  <c r="CZ2" i="8" l="1"/>
  <c r="CY4" i="8"/>
  <c r="CY1" i="8" s="1"/>
  <c r="CY3" i="8"/>
  <c r="DA2" i="8" l="1"/>
  <c r="CZ3" i="8"/>
  <c r="CZ4" i="8"/>
  <c r="CZ1" i="8" s="1"/>
  <c r="DA3" i="8" l="1"/>
  <c r="DA4" i="8"/>
  <c r="DA1" i="8" s="1"/>
  <c r="DB2" i="8"/>
  <c r="DC2" i="8" l="1"/>
  <c r="DD2" i="8" s="1"/>
  <c r="DB3" i="8"/>
  <c r="DB4" i="8"/>
  <c r="DB1" i="8" s="1"/>
  <c r="DD3" i="8" l="1"/>
  <c r="DD4" i="8"/>
  <c r="DD1" i="8" s="1"/>
  <c r="DC3" i="8"/>
  <c r="DC4" i="8"/>
  <c r="DC1" i="8" s="1"/>
  <c r="DF13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<sst xmlns="http://schemas.openxmlformats.org/spreadsheetml/2006/main" count="262" uniqueCount="184">
  <si>
    <t>Qui</t>
  </si>
  <si>
    <t>CR</t>
  </si>
  <si>
    <t>Etat</t>
  </si>
  <si>
    <t>Tâches</t>
  </si>
  <si>
    <t>Vendredi :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</si>
  <si>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</si>
  <si>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</si>
  <si>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</si>
  <si>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</si>
  <si>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</si>
  <si>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</si>
  <si>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</si>
  <si>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</si>
  <si>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</si>
  <si>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</si>
  <si>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</si>
  <si>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</si>
  <si>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</si>
  <si>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</si>
  <si>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</si>
  <si>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</si>
  <si>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</si>
  <si>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</si>
  <si>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</si>
  <si>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</si>
  <si>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</si>
  <si>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</si>
  <si>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</si>
  <si>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</si>
  <si>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</si>
  <si>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</si>
  <si>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</si>
  <si>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</si>
  <si>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</si>
  <si>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</si>
  <si>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</si>
  <si>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</si>
  <si>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</si>
  <si>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</si>
  <si>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</si>
  <si>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</si>
  <si>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</si>
  <si>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</si>
  <si>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</si>
  <si>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</si>
  <si>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</si>
  <si>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</si>
  <si>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</si>
  <si>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</si>
  <si>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</si>
  <si>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</si>
  <si>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</si>
  <si>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</si>
  <si>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</si>
  <si>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</si>
  <si>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</si>
  <si>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</si>
  <si>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Semaine :</t>
  </si>
  <si>
    <t>Lundi :</t>
  </si>
  <si>
    <t>Année</t>
  </si>
  <si>
    <t>couleur</t>
  </si>
  <si>
    <t>Date fin</t>
  </si>
  <si>
    <t>Projet</t>
  </si>
  <si>
    <t>Date début</t>
  </si>
  <si>
    <t>Durée</t>
  </si>
  <si>
    <t>NB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</si>
  <si>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</si>
  <si>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</si>
  <si>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</si>
  <si>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</si>
  <si>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</si>
  <si>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</si>
  <si>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</si>
  <si>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</si>
  <si>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</si>
  <si>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</si>
  <si>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</si>
  <si>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</si>
  <si>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</si>
  <si>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</si>
  <si>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</si>
  <si>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</si>
  <si>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</si>
  <si>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</si>
  <si>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</si>
  <si>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</si>
  <si>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</si>
  <si>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</si>
  <si>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</si>
  <si>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</si>
  <si>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</si>
  <si>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</si>
  <si>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</si>
  <si>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</si>
  <si>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</si>
  <si>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</si>
  <si>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</si>
  <si>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</si>
  <si>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</si>
  <si>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</si>
  <si>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</si>
  <si>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</si>
  <si>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</si>
  <si>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</si>
  <si>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</si>
  <si>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</si>
  <si>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</si>
  <si>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</si>
  <si>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</si>
  <si>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</si>
  <si>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</si>
  <si>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</si>
  <si>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</si>
  <si>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</si>
  <si>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</si>
  <si>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</si>
  <si>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</si>
  <si>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</si>
  <si>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FR</t>
  </si>
  <si>
    <t>DIPRO D3X</t>
  </si>
  <si>
    <t>Retours SAV</t>
  </si>
  <si>
    <t>Indus</t>
  </si>
  <si>
    <t>Refendage</t>
  </si>
  <si>
    <t>Train cetim</t>
  </si>
  <si>
    <t>Cost kiling : vérifier la nouvelle conception</t>
  </si>
  <si>
    <t>Pré Indus</t>
  </si>
  <si>
    <t>RB</t>
  </si>
  <si>
    <t>ROAD MAP PRODUITS</t>
  </si>
  <si>
    <t>Organisation rencontres UK (Proto pour panels)</t>
  </si>
  <si>
    <t>MIJO</t>
  </si>
  <si>
    <t>Voyage UK</t>
  </si>
  <si>
    <t>Traitement des données</t>
  </si>
  <si>
    <t>Modification conception</t>
  </si>
  <si>
    <t>Rassembler + vulgariser les données</t>
  </si>
  <si>
    <t>Réunion</t>
  </si>
  <si>
    <t>DIMOS</t>
  </si>
  <si>
    <t>Lancement étude et suivi</t>
  </si>
  <si>
    <t>Choix de design</t>
  </si>
  <si>
    <t>Actualisation Plans et chiffrage série</t>
  </si>
  <si>
    <t>Définition de la stratégie</t>
  </si>
  <si>
    <t>Rebouclages marché pour validation strat. Go2market</t>
  </si>
  <si>
    <t>Finir la stratégie</t>
  </si>
  <si>
    <t>Conception banc de test pluie + vent</t>
  </si>
  <si>
    <t>Fabrication banc de test pluie + vent</t>
  </si>
  <si>
    <t>Choix partenaire</t>
  </si>
  <si>
    <t>Lancement étude de rhéologie + optimisation charnière + (FEM)</t>
  </si>
  <si>
    <t>Lancement moule proto / Proto pour validation thermique</t>
  </si>
  <si>
    <t>Travail sur la tenue UV du zinc choisi (identifier expert, caractérisation, biblio, comapraison avec matériaux en toiture qui se décolorent pas)</t>
  </si>
  <si>
    <t>MàJ CAO suite consultations série</t>
  </si>
  <si>
    <t>MàJ CAO suite designer</t>
  </si>
  <si>
    <t>Consultation BE indus clips</t>
  </si>
  <si>
    <t>Lancement indus clips</t>
  </si>
  <si>
    <t>JR</t>
  </si>
  <si>
    <t>NB
MIJO</t>
  </si>
  <si>
    <t>EOLE 01
Marché étranger</t>
  </si>
  <si>
    <t>EOLE 02
Go/NoGo Indus Gamme</t>
  </si>
  <si>
    <t>EOLE 03
Design gamme EOLE</t>
  </si>
  <si>
    <t>EOLE 04
Go to Market</t>
  </si>
  <si>
    <t>EOLE 05
Industrialisation</t>
  </si>
  <si>
    <t>EOLE 06
Industrialisation chatière pliable</t>
  </si>
  <si>
    <t>EOLE 07
Industrialisation gamme métal /bi-matière</t>
  </si>
  <si>
    <t>EOLE 08
Industrialisation VMC</t>
  </si>
  <si>
    <t>NB
CR</t>
  </si>
  <si>
    <t>Panel France
(universelle + chatières métals, VMC plastique et métal)</t>
  </si>
  <si>
    <t>Préparer panel France</t>
  </si>
  <si>
    <t>Rédaction CDC pour consultation designer</t>
  </si>
  <si>
    <t>Consultations cabinet design/marketing</t>
  </si>
  <si>
    <t>Panels nouveau design</t>
  </si>
  <si>
    <t>Consultation cabinet (?)</t>
  </si>
  <si>
    <t>AG</t>
  </si>
  <si>
    <t>Tests, Validation de l'étanchéité</t>
  </si>
  <si>
    <t>Lancement étude CSTB pertes de charges VMC</t>
  </si>
  <si>
    <t>Tableau des indices des plans de la dipro 3x</t>
  </si>
  <si>
    <t>Vie série</t>
  </si>
  <si>
    <t>Modification support potelet pour intégrérer l'étanchéité</t>
  </si>
  <si>
    <t>Modif de la rainure du pignon de bagueteuse</t>
  </si>
  <si>
    <t>4S2000</t>
  </si>
  <si>
    <t>Lagoon 3m : Tableau de la liste des plans + différences entre CAO et machine</t>
  </si>
  <si>
    <t>Lagoon 2m : Tableau de la liste des plans + différences entre CAO et machine</t>
  </si>
  <si>
    <t>Lagoon 2,5m : Tableau de la liste des plans + différences entre CAO et machine</t>
  </si>
  <si>
    <t>Lagoon 3m : Différences entre 3D et 2D de Dimos et 4S2000</t>
  </si>
  <si>
    <t>Lagoon 2,5m : Différences entre 3D et 2D de Dimos et 4S2000</t>
  </si>
  <si>
    <t>Lagoon 2m : Différences entre 3D et 2D de Dimos et 4S2000</t>
  </si>
  <si>
    <t>Laggon 3m, 2,5m , 2m, Triade 1m : Compléter les plans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</si>
</sst>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/dd/mm/yyyy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333399"/>
      <name val="Calibri"/>
      <family val="2"/>
    </font>
    <font>
      <sz val="9"/>
      <color theme="1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4"/>
      <color theme="5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59999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 applyProtection="1">
      <alignment vertical="center" wrapText="1"/>
      <protection locked="0"/>
    </xf>
    <xf numFmtId="49" fontId="0" fillId="0" borderId="6" xfId="0" applyNumberFormat="1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1" fillId="0" borderId="20" xfId="0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 wrapText="1"/>
      <protection locked="0"/>
    </xf>
    <xf numFmtId="14" fontId="11" fillId="0" borderId="19" xfId="0" applyNumberFormat="1" applyFont="1" applyBorder="1" applyAlignment="1" applyProtection="1">
      <alignment vertical="center" wrapText="1"/>
      <protection locked="0"/>
    </xf>
    <xf numFmtId="14" fontId="11" fillId="0" borderId="14" xfId="0" applyNumberFormat="1" applyFont="1" applyBorder="1" applyAlignment="1" applyProtection="1">
      <alignment vertical="center" wrapText="1"/>
      <protection locked="0"/>
    </xf>
    <xf numFmtId="14" fontId="11" fillId="0" borderId="0" xfId="0" applyNumberFormat="1" applyFont="1" applyAlignment="1" applyProtection="1">
      <alignment vertical="center" wrapText="1"/>
      <protection locked="0"/>
    </xf>
    <xf numFmtId="49" fontId="0" fillId="0" borderId="10" xfId="0" applyNumberFormat="1" applyBorder="1" applyAlignment="1" applyProtection="1">
      <alignment vertical="center" wrapText="1"/>
      <protection locked="0"/>
    </xf>
    <xf numFmtId="164" fontId="4" fillId="3" borderId="1" xfId="0" applyNumberFormat="1" applyFont="1" applyFill="1" applyBorder="1" applyAlignment="1">
      <alignment horizontal="left" vertical="center" wrapText="1"/>
    </xf>
    <xf numFmtId="0" fontId="7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 wrapText="1"/>
    </xf>
    <xf numFmtId="164" fontId="4" fillId="3" borderId="12" xfId="0" applyNumberFormat="1" applyFont="1" applyFill="1" applyBorder="1" applyAlignment="1">
      <alignment horizontal="center" vertical="center" wrapText="1"/>
    </xf>
    <xf numFmtId="164" fontId="4" fillId="3" borderId="0" xfId="0" applyNumberFormat="1" applyFont="1" applyFill="1" applyAlignment="1">
      <alignment horizontal="center" vertical="center" wrapText="1"/>
    </xf>
    <xf numFmtId="14" fontId="0" fillId="3" borderId="7" xfId="0" applyNumberFormat="1" applyFill="1" applyBorder="1" applyAlignment="1">
      <alignment horizontal="right" vertical="center" wrapText="1"/>
    </xf>
    <xf numFmtId="0" fontId="1" fillId="3" borderId="3" xfId="0" applyFont="1" applyFill="1" applyBorder="1" applyAlignment="1" applyProtection="1">
      <alignment horizontal="center" vertical="center" wrapText="1"/>
      <protection locked="0"/>
    </xf>
    <xf numFmtId="0" fontId="1" fillId="3" borderId="4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right" vertical="center" wrapText="1"/>
      <protection locked="0"/>
    </xf>
    <xf numFmtId="0" fontId="0" fillId="0" borderId="17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1" fillId="2" borderId="18" xfId="0" applyFont="1" applyFill="1" applyBorder="1" applyAlignment="1" applyProtection="1">
      <alignment horizontal="center" vertical="center" wrapText="1"/>
      <protection locked="0"/>
    </xf>
    <xf numFmtId="0" fontId="1" fillId="2" borderId="15" xfId="0" applyFont="1" applyFill="1" applyBorder="1" applyAlignment="1" applyProtection="1">
      <alignment horizontal="center" vertical="center" wrapText="1"/>
      <protection locked="0"/>
    </xf>
    <xf numFmtId="0" fontId="1" fillId="2" borderId="1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Alignment="1" applyProtection="1">
      <alignment vertical="center" wrapText="1"/>
      <protection locked="0"/>
    </xf>
    <xf numFmtId="164" fontId="13" fillId="3" borderId="0" xfId="1" applyNumberFormat="1" applyFont="1" applyFill="1" applyAlignment="1">
      <alignment horizontal="left" vertical="center" wrapText="1"/>
    </xf>
    <xf numFmtId="0" fontId="13" fillId="3" borderId="4" xfId="1" applyFont="1" applyFill="1" applyBorder="1" applyAlignment="1" applyProtection="1">
      <alignment horizontal="left" vertical="center" wrapText="1"/>
      <protection locked="0"/>
    </xf>
    <xf numFmtId="0" fontId="0" fillId="3" borderId="7" xfId="0" applyFill="1" applyBorder="1" applyAlignment="1">
      <alignment horizontal="right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 applyProtection="1">
      <alignment horizontal="center" vertical="center" wrapText="1"/>
      <protection locked="0"/>
    </xf>
    <xf numFmtId="14" fontId="0" fillId="0" borderId="2" xfId="0" applyNumberForma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4" fontId="0" fillId="4" borderId="17" xfId="0" applyNumberFormat="1" applyFill="1" applyBorder="1" applyAlignment="1" applyProtection="1">
      <alignment vertical="center" wrapText="1"/>
      <protection locked="0"/>
    </xf>
    <xf numFmtId="14" fontId="0" fillId="5" borderId="17" xfId="0" applyNumberFormat="1" applyFill="1" applyBorder="1" applyAlignment="1" applyProtection="1">
      <alignment vertical="center" wrapText="1"/>
      <protection locked="0"/>
    </xf>
    <xf numFmtId="0" fontId="0" fillId="6" borderId="21" xfId="0" applyFill="1" applyBorder="1" applyAlignment="1" applyProtection="1">
      <alignment vertical="center" wrapText="1"/>
      <protection locked="0"/>
    </xf>
    <xf numFmtId="0" fontId="14" fillId="6" borderId="6" xfId="0" applyFont="1" applyFill="1" applyBorder="1" applyAlignment="1" applyProtection="1">
      <alignment horizontal="center" vertical="center" wrapText="1"/>
      <protection locked="0"/>
    </xf>
    <xf numFmtId="0" fontId="4" fillId="0" borderId="26" xfId="0" applyFont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14" fontId="14" fillId="0" borderId="0" xfId="0" applyNumberFormat="1" applyFont="1" applyAlignment="1" applyProtection="1">
      <alignment horizontal="center" vertical="center" wrapText="1"/>
      <protection locked="0"/>
    </xf>
    <xf numFmtId="14" fontId="5" fillId="0" borderId="11" xfId="0" applyNumberFormat="1" applyFont="1" applyBorder="1" applyAlignment="1" applyProtection="1">
      <alignment horizontal="center" vertical="center" wrapText="1"/>
      <protection locked="0"/>
    </xf>
    <xf numFmtId="0" fontId="14" fillId="0" borderId="28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0" fontId="14" fillId="7" borderId="6" xfId="0" applyFont="1" applyFill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 wrapText="1"/>
      <protection locked="0"/>
    </xf>
    <xf numFmtId="0" fontId="14" fillId="7" borderId="23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 applyProtection="1">
      <alignment horizontal="left" vertical="center" wrapText="1"/>
      <protection locked="0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5" fillId="7" borderId="30" xfId="0" applyFont="1" applyFill="1" applyBorder="1" applyAlignment="1" applyProtection="1">
      <alignment horizontal="center" vertical="center" wrapText="1"/>
      <protection locked="0"/>
    </xf>
    <xf numFmtId="0" fontId="5" fillId="7" borderId="29" xfId="0" applyFont="1" applyFill="1" applyBorder="1" applyAlignment="1" applyProtection="1">
      <alignment horizontal="center" vertical="center" wrapText="1"/>
      <protection locked="0"/>
    </xf>
    <xf numFmtId="0" fontId="16" fillId="7" borderId="29" xfId="0" applyFont="1" applyFill="1" applyBorder="1" applyAlignment="1" applyProtection="1">
      <alignment horizontal="center" vertical="center" wrapText="1"/>
      <protection locked="0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0" fillId="8" borderId="13" xfId="0" applyFill="1" applyBorder="1" applyAlignment="1" applyProtection="1">
      <alignment horizontal="center" vertical="center" wrapText="1"/>
      <protection locked="0"/>
    </xf>
    <xf numFmtId="0" fontId="2" fillId="8" borderId="13" xfId="0" applyFont="1" applyFill="1" applyBorder="1" applyAlignment="1" applyProtection="1">
      <alignment horizontal="center" vertical="center" wrapText="1"/>
      <protection locked="0"/>
    </xf>
    <xf numFmtId="0" fontId="0" fillId="8" borderId="6" xfId="0" applyFill="1" applyBorder="1" applyAlignment="1" applyProtection="1">
      <alignment horizontal="center" vertical="center" wrapText="1"/>
      <protection locked="0"/>
    </xf>
    <xf numFmtId="0" fontId="2" fillId="8" borderId="6" xfId="0" applyFont="1" applyFill="1" applyBorder="1" applyAlignment="1" applyProtection="1">
      <alignment horizontal="center" vertical="center" wrapText="1"/>
      <protection locked="0"/>
    </xf>
    <xf numFmtId="0" fontId="3" fillId="0" borderId="23" xfId="0" applyFont="1" applyBorder="1" applyAlignment="1" applyProtection="1">
      <alignment horizontal="center" vertical="center" wrapText="1"/>
      <protection locked="0"/>
    </xf>
    <xf numFmtId="0" fontId="14" fillId="6" borderId="23" xfId="0" applyFont="1" applyFill="1" applyBorder="1" applyAlignment="1" applyProtection="1">
      <alignment horizontal="center" vertical="center" wrapText="1"/>
      <protection locked="0"/>
    </xf>
    <xf numFmtId="0" fontId="16" fillId="9" borderId="29" xfId="0" applyFont="1" applyFill="1" applyBorder="1" applyAlignment="1" applyProtection="1">
      <alignment horizontal="center" vertical="center" wrapText="1"/>
      <protection locked="0"/>
    </xf>
    <xf numFmtId="0" fontId="18" fillId="0" borderId="8" xfId="0" applyFont="1" applyBorder="1" applyAlignment="1" applyProtection="1">
      <alignment horizontal="left" vertical="center" wrapText="1"/>
      <protection locked="0"/>
    </xf>
    <xf numFmtId="0" fontId="17" fillId="0" borderId="8" xfId="0" applyFont="1" applyBorder="1" applyAlignment="1" applyProtection="1">
      <alignment horizontal="left" vertical="center" wrapText="1"/>
      <protection locked="0"/>
    </xf>
    <xf numFmtId="0" fontId="19" fillId="0" borderId="8" xfId="0" applyFont="1" applyBorder="1" applyAlignment="1" applyProtection="1">
      <alignment horizontal="left" vertical="center" wrapText="1"/>
      <protection locked="0"/>
    </xf>
    <xf numFmtId="0" fontId="20" fillId="0" borderId="8" xfId="0" applyFont="1" applyBorder="1" applyAlignment="1" applyProtection="1">
      <alignment horizontal="left" vertical="center" wrapText="1"/>
      <protection locked="0"/>
    </xf>
    <xf numFmtId="0" fontId="21" fillId="0" borderId="8" xfId="0" applyFont="1" applyBorder="1" applyAlignment="1" applyProtection="1">
      <alignment horizontal="left" vertical="center" wrapText="1"/>
      <protection locked="0"/>
    </xf>
    <xf numFmtId="0" fontId="22" fillId="0" borderId="8" xfId="0" applyFont="1" applyBorder="1" applyAlignment="1" applyProtection="1">
      <alignment horizontal="left" vertical="center" wrapText="1"/>
      <protection locked="0"/>
    </xf>
    <xf numFmtId="49" fontId="1" fillId="0" borderId="6" xfId="0" applyNumberFormat="1" applyFont="1" applyBorder="1" applyAlignment="1" applyProtection="1">
      <alignment vertical="center" wrapText="1"/>
      <protection locked="0"/>
    </xf>
    <xf numFmtId="0" fontId="23" fillId="10" borderId="24" xfId="0" applyFont="1" applyFill="1" applyBorder="1" applyAlignment="1" applyProtection="1">
      <alignment horizontal="center" vertical="center" wrapText="1"/>
      <protection locked="0"/>
    </xf>
    <xf numFmtId="0" fontId="16" fillId="7" borderId="30" xfId="0" applyFont="1" applyFill="1" applyBorder="1" applyAlignment="1" applyProtection="1">
      <alignment horizontal="center" vertical="center" wrapText="1"/>
      <protection locked="0"/>
    </xf>
    <xf numFmtId="0" fontId="14" fillId="9" borderId="6" xfId="0" applyFont="1" applyFill="1" applyBorder="1" applyAlignment="1" applyProtection="1">
      <alignment horizontal="center" vertical="center" wrapText="1"/>
      <protection locked="0"/>
    </xf>
    <xf numFmtId="0" fontId="14" fillId="9" borderId="23" xfId="0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1" xfId="0" applyFont="1" applyFill="1" applyBorder="1" applyAlignment="1" applyProtection="1">
      <alignment horizontal="center" vertical="center" wrapText="1"/>
      <protection locked="0"/>
    </xf>
    <xf numFmtId="0" fontId="16" fillId="0" borderId="30" xfId="0" applyFont="1" applyFill="1" applyBorder="1" applyAlignment="1" applyProtection="1">
      <alignment horizontal="center" vertical="center" wrapText="1"/>
      <protection locked="0"/>
    </xf>
    <xf numFmtId="0" fontId="5" fillId="0" borderId="30" xfId="0" applyFont="1" applyFill="1" applyBorder="1" applyAlignment="1" applyProtection="1">
      <alignment horizontal="center" vertical="center" wrapText="1"/>
      <protection locked="0"/>
    </xf>
    <xf numFmtId="0" fontId="5" fillId="0" borderId="33" xfId="0" applyFont="1" applyFill="1" applyBorder="1" applyAlignment="1" applyProtection="1">
      <alignment horizontal="center" vertical="center" wrapText="1"/>
      <protection locked="0"/>
    </xf>
    <xf numFmtId="0" fontId="16" fillId="0" borderId="29" xfId="0" applyFont="1" applyFill="1" applyBorder="1" applyAlignment="1" applyProtection="1">
      <alignment horizontal="center" vertical="center" wrapText="1"/>
      <protection locked="0"/>
    </xf>
    <xf numFmtId="0" fontId="5" fillId="0" borderId="29" xfId="0" applyFont="1" applyFill="1" applyBorder="1" applyAlignment="1" applyProtection="1">
      <alignment horizontal="center" vertical="center" wrapText="1"/>
      <protection locked="0"/>
    </xf>
    <xf numFmtId="0" fontId="5" fillId="0" borderId="32" xfId="0" applyFont="1" applyFill="1" applyBorder="1" applyAlignment="1" applyProtection="1">
      <alignment horizontal="center" vertical="center" wrapText="1"/>
      <protection locked="0"/>
    </xf>
    <xf numFmtId="0" fontId="15" fillId="0" borderId="29" xfId="0" applyFont="1" applyFill="1" applyBorder="1" applyAlignment="1" applyProtection="1">
      <alignment horizontal="center" vertical="center" wrapText="1"/>
      <protection locked="0"/>
    </xf>
    <xf numFmtId="0" fontId="15" fillId="0" borderId="30" xfId="0" applyFont="1" applyFill="1" applyBorder="1" applyAlignment="1" applyProtection="1">
      <alignment horizontal="center" vertical="center" wrapText="1"/>
      <protection locked="0"/>
    </xf>
    <xf numFmtId="0" fontId="16" fillId="0" borderId="4" xfId="0" applyFont="1" applyFill="1" applyBorder="1" applyAlignment="1" applyProtection="1">
      <alignment horizontal="center" vertical="center" wrapText="1"/>
      <protection locked="0"/>
    </xf>
    <xf numFmtId="0" fontId="16" fillId="0" borderId="34" xfId="0" applyFont="1" applyFill="1" applyBorder="1" applyAlignment="1" applyProtection="1">
      <alignment horizontal="center" vertical="center" wrapText="1"/>
      <protection locked="0"/>
    </xf>
    <xf numFmtId="0" fontId="5" fillId="0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Fill="1" applyBorder="1" applyAlignment="1" applyProtection="1">
      <alignment horizontal="center" vertical="center" wrapText="1"/>
      <protection locked="0"/>
    </xf>
    <xf numFmtId="0" fontId="16" fillId="6" borderId="30" xfId="0" applyFont="1" applyFill="1" applyBorder="1" applyAlignment="1" applyProtection="1">
      <alignment horizontal="center" vertical="center" wrapText="1"/>
      <protection locked="0"/>
    </xf>
    <xf numFmtId="0" fontId="16" fillId="6" borderId="29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/>
  </cellStyles>
  <dxfs count="1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indexed="64"/>
        </left>
        <right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</font>
      <alignment horizontal="left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medium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808080"/>
        <name val="Calibri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lor rgb="FFFF0000"/>
      </font>
    </dxf>
    <dxf>
      <fill>
        <gradientFill>
          <stop position="0">
            <color theme="4" tint="0.59999389629810485"/>
          </stop>
          <stop position="0.5">
            <color theme="0"/>
          </stop>
          <stop position="1">
            <color theme="4" tint="0.59999389629810485"/>
          </stop>
        </gradientFill>
      </fill>
    </dxf>
    <dxf>
      <fill>
        <gradientFill>
          <stop position="0">
            <color theme="9" tint="0.59999389629810485"/>
          </stop>
          <stop position="0.5">
            <color theme="0"/>
          </stop>
          <stop position="1">
            <color theme="9" tint="0.59999389629810485"/>
          </stop>
        </gradientFill>
      </fill>
    </dxf>
  </dxfs>
  <tableStyles count="0" defaultTableStyle="TableStyleMedium2" defaultPivotStyle="PivotStyleLight16"/>
  <colors>
    <mruColors>
      <color rgb="FFF59999"/>
      <color rgb="FFFFCCCC"/>
      <color rgb="FFEEB3B0"/>
      <color rgb="FFFFE7FF"/>
      <color rgb="FFFFEBFF"/>
      <color rgb="FFFFCCFF"/>
      <color rgb="FFCFA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944880</xdr:colOff>
          <xdr:row>1</xdr:row>
          <xdr:rowOff>152400</xdr:rowOff>
        </xdr:from>
        <xdr:to>
          <xdr:col>0</xdr:col>
          <xdr:colOff>1508760</xdr:colOff>
          <xdr:row>3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3399"/>
                  </a:solidFill>
                  <a:latin typeface="Calibri"/>
                  <a:ea typeface="Calibri"/>
                  <a:cs typeface="Calibri"/>
                </a:rPr>
                <a:t>Tri</a:t>
              </a:r>
            </a:p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3399"/>
                  </a:solidFill>
                  <a:latin typeface="Calibri"/>
                  <a:ea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B0FEE-1BA7-4641-AB7A-79ECCAD8E1D9}" name="Tableau13" displayName="Tableau13" ref="A5:DH55" totalsRowShown="0" headerRowDxfId="114" dataDxfId="113" tableBorderDxfId="112">
  <autoFilter ref="A5:DH55" xr:uid="{8BF57B07-3A6F-4E3F-9B59-5024F16BE587}"/>
  <sortState xmlns:xlrd2="http://schemas.microsoft.com/office/spreadsheetml/2017/richdata2" ref="A6:DH55">
    <sortCondition ref="A5:A55"/>
  </sortState>
  <tableColumns count="112">
    <tableColumn id="1" xr3:uid="{9DDA9316-64D5-47C3-BBD2-DA8A778F1678}" name="Projet" dataDxfId="111"/>
    <tableColumn id="2" xr3:uid="{47BF7D79-A6BC-4EC9-AA90-FCBB158A61F8}" name="Tâches" dataDxfId="110"/>
    <tableColumn id="3" xr3:uid="{E2C7F49E-70C4-4BFF-A5C6-1B3195141333}" name="Qui" dataDxfId="109"/>
    <tableColumn id="5" xr3:uid="{9F92C520-98CB-479A-BC05-DCDD70F705AF}" name="Etat" dataDxfId="105"/>
    <tableColumn id="6" xr3:uid="{EB39794F-B3D5-4913-A292-7E0F391AE403}" name="6" dataDxfId="104"/>
    <tableColumn id="7" xr3:uid="{09DE0686-2A42-4605-944C-16B52D45B8BD}" name="7" dataDxfId="103"/>
    <tableColumn id="8" xr3:uid="{F17957BB-BA46-478A-BAD3-1035C47AD3A1}" name="8" dataDxfId="102"/>
    <tableColumn id="9" xr3:uid="{31A9AB44-181E-4EF6-88FF-36064B83408F}" name="9" dataDxfId="101"/>
    <tableColumn id="10" xr3:uid="{0F7C4873-6A78-4725-9ADB-01BADA2C614F}" name="10" dataDxfId="100"/>
    <tableColumn id="11" xr3:uid="{3EFA9ADD-422E-42B0-87F7-5DF0318A0448}" name="11" dataDxfId="99"/>
    <tableColumn id="12" xr3:uid="{73FC663A-AA98-42D4-9452-96C2AE45B1DE}" name="12" dataDxfId="98"/>
    <tableColumn id="13" xr3:uid="{E6CB3DB9-C2C6-4DCF-B979-E463CCBDF7DD}" name="13" dataDxfId="97"/>
    <tableColumn id="14" xr3:uid="{A120581F-A654-4F3D-B8ED-64BDA0BDA0F4}" name="14" dataDxfId="96"/>
    <tableColumn id="15" xr3:uid="{E88B7630-D0A3-43F3-B477-8B8FBF7FE7C3}" name="15" dataDxfId="95"/>
    <tableColumn id="16" xr3:uid="{FABAB109-C80D-4FFE-A813-C4B2A0BFE987}" name="16" dataDxfId="94"/>
    <tableColumn id="17" xr3:uid="{9D7831FF-848E-40BC-97A6-3AEE57C287FE}" name="17" dataDxfId="93"/>
    <tableColumn id="18" xr3:uid="{72639551-6A14-4143-9A85-976EFAF13D0A}" name="18" dataDxfId="92"/>
    <tableColumn id="19" xr3:uid="{4DF39223-8927-4A96-8C51-A8BBFECE097C}" name="19" dataDxfId="91"/>
    <tableColumn id="20" xr3:uid="{7DFD62FF-DBA6-4A76-A6C7-56F16146DCF2}" name="20" dataDxfId="90"/>
    <tableColumn id="21" xr3:uid="{A01B833B-D646-4A9D-8FE8-B52546542A3F}" name="21" dataDxfId="89"/>
    <tableColumn id="22" xr3:uid="{D45B25D6-BC43-4840-9027-E4C3EA95B84D}" name="22" dataDxfId="88"/>
    <tableColumn id="23" xr3:uid="{1A24238F-2B77-4753-9E1E-B06BE843EF9B}" name="23" dataDxfId="87"/>
    <tableColumn id="24" xr3:uid="{E50A6F8E-756E-4926-A0B4-5F9B824D796A}" name="24" dataDxfId="86"/>
    <tableColumn id="25" xr3:uid="{6DFD452A-5FBA-4226-98E5-EB2357EE09FD}" name="25" dataDxfId="85"/>
    <tableColumn id="26" xr3:uid="{4F0B5C9C-91C2-4465-84AD-FA90B533F7FA}" name="26" dataDxfId="84"/>
    <tableColumn id="27" xr3:uid="{4F3E3A74-FFF8-44A9-843D-E21B568E936E}" name="27" dataDxfId="83"/>
    <tableColumn id="28" xr3:uid="{BA249E85-EAB1-4BBA-AAB1-A69EC39F8DDF}" name="28" dataDxfId="82"/>
    <tableColumn id="29" xr3:uid="{D52B2DF3-9B54-435E-AC5F-3B82B1A82B61}" name="29" dataDxfId="81"/>
    <tableColumn id="30" xr3:uid="{4460A8B4-2A30-4022-933E-135057232B6E}" name="30" dataDxfId="80"/>
    <tableColumn id="31" xr3:uid="{97E482E8-CF6B-4473-A6B3-98701C68EBF6}" name="31" dataDxfId="79"/>
    <tableColumn id="32" xr3:uid="{ABCE0C88-CBF3-4D56-87D9-E3C827F0C992}" name="32" dataDxfId="78"/>
    <tableColumn id="33" xr3:uid="{C47C022C-7FBA-4B04-8BBD-E1831F01E7A5}" name="33" dataDxfId="77"/>
    <tableColumn id="34" xr3:uid="{C30F2AB2-8D01-4E85-8A40-E616EFFCA472}" name="34" dataDxfId="76"/>
    <tableColumn id="35" xr3:uid="{0912C5DD-E97D-4FF8-9CF7-32882C9425F4}" name="35" dataDxfId="75"/>
    <tableColumn id="36" xr3:uid="{0A06E3EF-D232-4C91-8A1D-62E891016D34}" name="36" dataDxfId="74"/>
    <tableColumn id="37" xr3:uid="{03C49BF0-F3DB-4011-BEDE-1DB4F9481720}" name="37" dataDxfId="73"/>
    <tableColumn id="38" xr3:uid="{A5C82F36-C078-4F2D-AB73-5567965AEF55}" name="38" dataDxfId="72"/>
    <tableColumn id="39" xr3:uid="{D39BEE12-5ECE-44EB-A9DD-4AEC81F01DDB}" name="39" dataDxfId="71"/>
    <tableColumn id="40" xr3:uid="{6148BA8F-A25E-4E20-8876-0C134CBE2A61}" name="40" dataDxfId="70"/>
    <tableColumn id="41" xr3:uid="{1779A1C0-9130-400F-B86D-44BEE6DE2473}" name="41" dataDxfId="69"/>
    <tableColumn id="42" xr3:uid="{95CB258B-1600-44E5-99BE-B84832C0EA28}" name="42" dataDxfId="68"/>
    <tableColumn id="43" xr3:uid="{A73F6EB6-F64B-4858-85CF-00B4D3BD18EE}" name="43" dataDxfId="67"/>
    <tableColumn id="44" xr3:uid="{ACE9D9C4-187E-4186-80AF-5B8D6725145E}" name="44" dataDxfId="66"/>
    <tableColumn id="45" xr3:uid="{67C7DD23-A387-44AC-A46C-C664011C4A5B}" name="45" dataDxfId="65"/>
    <tableColumn id="46" xr3:uid="{56DDFFC0-7BDE-4CE7-9B41-AFC27FDDECE1}" name="46" dataDxfId="64"/>
    <tableColumn id="47" xr3:uid="{B030FE00-9195-4EE6-BFE6-D229D3EA9587}" name="47" dataDxfId="63"/>
    <tableColumn id="48" xr3:uid="{54CF04A8-F959-49FE-A267-3A70F438462D}" name="48" dataDxfId="62"/>
    <tableColumn id="49" xr3:uid="{6D234BF8-C01F-4F9F-B3CE-9DCCAF210D71}" name="49" dataDxfId="61"/>
    <tableColumn id="50" xr3:uid="{E2A7C89C-DA0E-4A0F-9B55-0A841EA8BE67}" name="50" dataDxfId="60"/>
    <tableColumn id="51" xr3:uid="{0D50239E-89C2-4A54-9583-BDF93737E4E7}" name="51" dataDxfId="59"/>
    <tableColumn id="52" xr3:uid="{C53E9470-E8EA-45B1-AF19-38CC68964212}" name="52" dataDxfId="58"/>
    <tableColumn id="53" xr3:uid="{D99B9DED-B27B-4D50-8CD5-7B1F870008A6}" name="53" dataDxfId="57"/>
    <tableColumn id="54" xr3:uid="{8FBC8237-78CD-4560-BE2E-B18DD15B6631}" name="54" dataDxfId="56"/>
    <tableColumn id="55" xr3:uid="{D01262D6-CE47-4783-A67A-B8A71E4880A1}" name="55" dataDxfId="55"/>
    <tableColumn id="56" xr3:uid="{2B423E0F-ADBD-41EF-81B5-9B7B180EE2D7}" name="56" dataDxfId="54"/>
    <tableColumn id="112" xr3:uid="{2BBDB3A4-8930-411F-9252-4CAD1FC27200}" name="57" dataDxfId="53"/>
    <tableColumn id="111" xr3:uid="{F816DEA4-9CC9-4798-8D9C-6B9C70ABCE2B}" name="58" dataDxfId="52"/>
    <tableColumn id="110" xr3:uid="{4F20F42C-5FC9-428E-8E2A-44AA52A47236}" name="59" dataDxfId="51"/>
    <tableColumn id="109" xr3:uid="{14E742BE-E009-49DC-9489-FA68180E7D41}" name="60" dataDxfId="50"/>
    <tableColumn id="108" xr3:uid="{3E9377A4-7BF1-47BD-8A38-B349F0FEE9BE}" name="61" dataDxfId="49"/>
    <tableColumn id="107" xr3:uid="{2D6D062C-DD42-495E-8B13-448C1D0EF368}" name="62" dataDxfId="48"/>
    <tableColumn id="106" xr3:uid="{FD09F02A-7710-4EA4-B2F7-420184B7CF89}" name="63" dataDxfId="47"/>
    <tableColumn id="105" xr3:uid="{DFAF7963-26C8-4EE6-85A0-A37A609064FC}" name="64" dataDxfId="46"/>
    <tableColumn id="104" xr3:uid="{06139D31-F24A-470A-8439-4981D405A7BF}" name="65" dataDxfId="45"/>
    <tableColumn id="103" xr3:uid="{70E180EC-1F32-4B15-B87B-3F51FAB2BE59}" name="66" dataDxfId="44"/>
    <tableColumn id="102" xr3:uid="{E4D70A8A-A1CF-4B2C-9A8E-A0F1B2F37ECA}" name="67" dataDxfId="43"/>
    <tableColumn id="101" xr3:uid="{74B4B4DD-79F5-4190-BBEE-AD805D072B84}" name="68" dataDxfId="42"/>
    <tableColumn id="100" xr3:uid="{1000EC24-C624-4B6F-A2DB-CF0DB3B7A0FB}" name="69" dataDxfId="41"/>
    <tableColumn id="99" xr3:uid="{59595B48-D565-4105-9EE2-B92114659CC4}" name="70" dataDxfId="40"/>
    <tableColumn id="98" xr3:uid="{ACD25BB6-1751-4A8C-A856-1102E9DE0255}" name="71" dataDxfId="39"/>
    <tableColumn id="97" xr3:uid="{CC5DB3A9-256E-4452-BDA2-FB732554487E}" name="72" dataDxfId="38"/>
    <tableColumn id="96" xr3:uid="{60DBB0F4-F600-493B-A3F0-E36F8BE4235D}" name="73" dataDxfId="37"/>
    <tableColumn id="95" xr3:uid="{4E69A4EC-F50C-4C9D-9FDB-629352348F7B}" name="74" dataDxfId="36"/>
    <tableColumn id="94" xr3:uid="{A4BA06C3-26E8-449E-BCBF-699865DF8154}" name="75" dataDxfId="35"/>
    <tableColumn id="93" xr3:uid="{C4B1B5D6-8B9C-41A7-B59D-1A68D77629C7}" name="76" dataDxfId="34"/>
    <tableColumn id="92" xr3:uid="{120F1D93-75B9-4282-8FDE-8A67FE8D086F}" name="77" dataDxfId="33"/>
    <tableColumn id="91" xr3:uid="{1C4F829A-D7FD-4A91-B939-BD425FE35054}" name="78" dataDxfId="32"/>
    <tableColumn id="90" xr3:uid="{CAE3DED0-22AD-4B17-B44D-FFE320A6BF3F}" name="79" dataDxfId="31"/>
    <tableColumn id="89" xr3:uid="{5977C954-B905-4024-9999-D7B03B6CF45C}" name="80" dataDxfId="30"/>
    <tableColumn id="88" xr3:uid="{B2452F51-5671-421E-BB10-850D85FC80B4}" name="81" dataDxfId="29"/>
    <tableColumn id="87" xr3:uid="{2AE76D70-27D3-4FC0-901B-14EE919DB145}" name="82" dataDxfId="28"/>
    <tableColumn id="86" xr3:uid="{E7B40CE9-7562-4120-A9FD-144F18F15ED0}" name="83" dataDxfId="27"/>
    <tableColumn id="85" xr3:uid="{C1C53BEE-BB93-4BD4-918D-0DB4BD10C1C5}" name="84" dataDxfId="26"/>
    <tableColumn id="84" xr3:uid="{25A18F34-0254-4719-AE57-5AAF5706ED1F}" name="85" dataDxfId="25"/>
    <tableColumn id="83" xr3:uid="{CB01D9E3-B00F-4237-8FC6-B46B173FBD64}" name="86" dataDxfId="24"/>
    <tableColumn id="82" xr3:uid="{D1FB9F9E-7A40-4BF1-880F-2E9A6FE1B1C6}" name="87" dataDxfId="23"/>
    <tableColumn id="81" xr3:uid="{07EFA94C-6EBF-47B8-B0E0-9AC89EE51732}" name="88" dataDxfId="22"/>
    <tableColumn id="80" xr3:uid="{E3E9557F-CBA5-443C-BAC9-347F523C8ED7}" name="89" dataDxfId="21"/>
    <tableColumn id="79" xr3:uid="{EE1AE487-6CA4-4F2F-B5F5-E50F0F1CEBD6}" name="90" dataDxfId="20"/>
    <tableColumn id="78" xr3:uid="{A8024C85-9065-4CC9-833B-BF1A75628FB1}" name="91" dataDxfId="19"/>
    <tableColumn id="77" xr3:uid="{2F49E4E9-D439-4044-BE7E-6BD22E5B1729}" name="92" dataDxfId="18"/>
    <tableColumn id="76" xr3:uid="{402E9E12-8E49-4889-A399-609E070ADC61}" name="93" dataDxfId="17"/>
    <tableColumn id="75" xr3:uid="{32996E8A-A647-41A1-9E88-EC6201B1ED75}" name="94" dataDxfId="16"/>
    <tableColumn id="74" xr3:uid="{51E64943-7F2F-484D-B74F-6979C7C792B8}" name="95" dataDxfId="15"/>
    <tableColumn id="73" xr3:uid="{0857E241-7B0F-45AE-B700-47485C37C3D4}" name="96" dataDxfId="14"/>
    <tableColumn id="72" xr3:uid="{FB3A0C5D-E843-4C13-AAE8-3081AACDF9F0}" name="97" dataDxfId="13"/>
    <tableColumn id="71" xr3:uid="{33FA4D64-DF3A-47BE-8477-504A01AEC596}" name="98" dataDxfId="12"/>
    <tableColumn id="70" xr3:uid="{3D178F25-E400-493E-AAEF-D37A4C7C1320}" name="99" dataDxfId="11"/>
    <tableColumn id="69" xr3:uid="{4BA79940-F5F4-417E-AD7C-D76888E56581}" name="100" dataDxfId="10"/>
    <tableColumn id="68" xr3:uid="{BF3A80AF-F51A-4632-B6EA-7CC7E6FFCF8D}" name="101" dataDxfId="9"/>
    <tableColumn id="67" xr3:uid="{386AF695-FC78-4526-ADA7-671EFA8BE977}" name="102" dataDxfId="8"/>
    <tableColumn id="66" xr3:uid="{8EB5B2C9-44B4-4F39-8125-024CEEF40AF2}" name="103" dataDxfId="7"/>
    <tableColumn id="65" xr3:uid="{25080D8A-095F-4F2D-9E7C-9ACC4F9EAB9E}" name="104" dataDxfId="6"/>
    <tableColumn id="63" xr3:uid="{7A2BFA7D-5EF9-427E-B4FD-11650592859E}" name="105" dataDxfId="5"/>
    <tableColumn id="61" xr3:uid="{3B10DF15-D823-44E6-B626-FE8ABDC48180}" name="106" dataDxfId="4"/>
    <tableColumn id="60" xr3:uid="{AED5A15E-C1D2-4D21-ABCF-11D1EDD96B46}" name="107" dataDxfId="3"/>
    <tableColumn id="4" xr3:uid="{51AD509E-938B-4799-820A-9F08D223515D}" name="108" dataDxfId="2"/>
    <tableColumn id="57" xr3:uid="{E99905CF-0DA3-489B-8A1A-020C7BCFDC35}" name="109" dataDxfId="0"/>
    <tableColumn id="59" xr3:uid="{2725897E-FD6C-4346-9FA9-3A8070747541}" name="Date fin" dataDxfId="1">
      <calculatedColumnFormula array="1">IF(COUNTA(E6:DD6)=0,0,LOOKUP(2,1/(E6:DD6&lt;&gt;""),E$3:DD$3))</calculatedColumnFormula>
    </tableColumn>
    <tableColumn id="58" xr3:uid="{61C1B89E-8F75-4C7C-B632-F0CCFB767C9E}" name="couleur" dataDxfId="108">
      <calculatedColumnFormula>IF(Tableau13[[#This Row],[Etat]]=1,2,IF(Tableau13[[#This Row],[Date fin]]&lt;=$A$1,3,1))</calculatedColumnFormula>
    </tableColumn>
    <tableColumn id="62" xr3:uid="{8743EA3B-A2A8-41A3-9FB2-F1049A0A7297}" name="Durée" dataDxfId="107">
      <calculatedColumnFormula>COUNTA(E6:DD6)</calculatedColumnFormula>
    </tableColumn>
    <tableColumn id="64" xr3:uid="{9D4C260B-B7C2-47A6-B8EA-C4A70807B19B}" name="Date début" dataDxfId="106">
      <calculatedColumnFormula array="1">INDEX($E$2:$DD$2,MATCH(TRUE,E6:DD6&lt;&gt;"",0))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E3DCA-7876-4B01-B032-D865C5780B98}">
  <sheetPr codeName="Feuil1"/>
  <dimension ref="A1:EF70"/>
  <sheetViews>
    <sheetView tabSelected="1" zoomScale="70" zoomScaleNormal="70" workbookViewId="0">
      <pane xSplit="4" ySplit="5" topLeftCell="E6" activePane="bottomRight" state="frozen"/>
      <selection pane="topRight" activeCell="F1" sqref="F1"/>
      <selection pane="bottomLeft" activeCell="A6" sqref="A6"/>
      <selection pane="bottomRight" activeCell="B63" sqref="B63"/>
    </sheetView>
  </sheetViews>
  <sheetFormatPr baseColWidth="10" defaultColWidth="11.5546875" defaultRowHeight="14.4" x14ac:dyDescent="0.3"/>
  <cols>
    <col min="1" max="1" width="30.88671875" style="8" customWidth="1"/>
    <col min="2" max="2" width="63.44140625" style="1" customWidth="1"/>
    <col min="3" max="3" width="8.33203125" style="4" bestFit="1" customWidth="1"/>
    <col min="4" max="4" width="10.5546875" style="5" bestFit="1" customWidth="1"/>
    <col min="5" max="108" width="9" style="1" customWidth="1"/>
    <col min="109" max="109" width="13.6640625" style="1" hidden="1" customWidth="1"/>
    <col min="110" max="110" width="13.33203125" style="1" hidden="1" customWidth="1"/>
    <col min="111" max="112" width="15" style="1" hidden="1" customWidth="1"/>
    <col min="113" max="16384" width="11.5546875" style="1"/>
  </cols>
  <sheetData>
    <row r="1" spans="1:136" ht="21.6" thickBot="1" x14ac:dyDescent="0.45">
      <c r="A1" s="15">
        <f ca="1">TODAY()</f>
        <v>46199</v>
      </c>
      <c r="B1" s="16" t="s">
        <v>127</v>
      </c>
      <c r="C1" s="17" t="s">
        <v>59</v>
      </c>
      <c r="D1" s="33">
        <v>2026</v>
      </c>
      <c r="E1" s="34" t="str">
        <f ca="1">IF(E4=_xlfn.ISOWEEKNUM($A$1),"↓",IF(OR(E4=13,E4=26,E4=39,E4=52),"ǀ",""))</f>
        <v/>
      </c>
      <c r="F1" s="34" t="str">
        <f t="shared" ref="F1:DD1" ca="1" si="0">IF(F4=_xlfn.ISOWEEKNUM($A$1),"↓",IF(OR(F4=13,F4=26,F4=39,F4=52),"ǀ",""))</f>
        <v/>
      </c>
      <c r="G1" s="34" t="str">
        <f t="shared" ca="1" si="0"/>
        <v>↓</v>
      </c>
      <c r="H1" s="34" t="str">
        <f t="shared" ca="1" si="0"/>
        <v/>
      </c>
      <c r="I1" s="34" t="str">
        <f t="shared" ca="1" si="0"/>
        <v/>
      </c>
      <c r="J1" s="34" t="str">
        <f t="shared" ca="1" si="0"/>
        <v/>
      </c>
      <c r="K1" s="34" t="str">
        <f t="shared" ca="1" si="0"/>
        <v/>
      </c>
      <c r="L1" s="34" t="str">
        <f t="shared" ca="1" si="0"/>
        <v/>
      </c>
      <c r="M1" s="34" t="str">
        <f t="shared" ca="1" si="0"/>
        <v/>
      </c>
      <c r="N1" s="75" t="str">
        <f t="shared" ca="1" si="0"/>
        <v/>
      </c>
      <c r="O1" s="75" t="str">
        <f t="shared" ca="1" si="0"/>
        <v/>
      </c>
      <c r="P1" s="34" t="str">
        <f t="shared" ca="1" si="0"/>
        <v/>
      </c>
      <c r="Q1" s="34" t="str">
        <f t="shared" ca="1" si="0"/>
        <v/>
      </c>
      <c r="R1" s="34" t="str">
        <f t="shared" ca="1" si="0"/>
        <v/>
      </c>
      <c r="S1" s="34" t="str">
        <f t="shared" ca="1" si="0"/>
        <v/>
      </c>
      <c r="T1" s="34" t="str">
        <f t="shared" ca="1" si="0"/>
        <v>ǀ</v>
      </c>
      <c r="U1" s="34" t="str">
        <f t="shared" ca="1" si="0"/>
        <v/>
      </c>
      <c r="V1" s="34" t="str">
        <f t="shared" ca="1" si="0"/>
        <v/>
      </c>
      <c r="W1" s="34" t="str">
        <f t="shared" ca="1" si="0"/>
        <v/>
      </c>
      <c r="X1" s="34" t="str">
        <f t="shared" ca="1" si="0"/>
        <v/>
      </c>
      <c r="Y1" s="34" t="str">
        <f t="shared" ca="1" si="0"/>
        <v/>
      </c>
      <c r="Z1" s="34" t="str">
        <f t="shared" ca="1" si="0"/>
        <v/>
      </c>
      <c r="AA1" s="34" t="str">
        <f t="shared" ca="1" si="0"/>
        <v/>
      </c>
      <c r="AB1" s="34" t="str">
        <f t="shared" ca="1" si="0"/>
        <v/>
      </c>
      <c r="AC1" s="34" t="str">
        <f t="shared" ca="1" si="0"/>
        <v/>
      </c>
      <c r="AD1" s="34" t="str">
        <f t="shared" ca="1" si="0"/>
        <v/>
      </c>
      <c r="AE1" s="34" t="str">
        <f t="shared" ca="1" si="0"/>
        <v/>
      </c>
      <c r="AF1" s="34" t="str">
        <f t="shared" ca="1" si="0"/>
        <v/>
      </c>
      <c r="AG1" s="34" t="str">
        <f t="shared" ca="1" si="0"/>
        <v>ǀ</v>
      </c>
      <c r="AH1" s="34" t="str">
        <f t="shared" ca="1" si="0"/>
        <v/>
      </c>
      <c r="AI1" s="34" t="str">
        <f t="shared" ca="1" si="0"/>
        <v/>
      </c>
      <c r="AJ1" s="34" t="str">
        <f t="shared" ca="1" si="0"/>
        <v/>
      </c>
      <c r="AK1" s="34" t="str">
        <f t="shared" ca="1" si="0"/>
        <v/>
      </c>
      <c r="AL1" s="34" t="str">
        <f t="shared" ca="1" si="0"/>
        <v/>
      </c>
      <c r="AM1" s="34" t="str">
        <f t="shared" ca="1" si="0"/>
        <v/>
      </c>
      <c r="AN1" s="34" t="str">
        <f t="shared" ca="1" si="0"/>
        <v/>
      </c>
      <c r="AO1" s="34" t="str">
        <f t="shared" ca="1" si="0"/>
        <v/>
      </c>
      <c r="AP1" s="34" t="str">
        <f t="shared" ca="1" si="0"/>
        <v/>
      </c>
      <c r="AQ1" s="34" t="str">
        <f t="shared" ca="1" si="0"/>
        <v/>
      </c>
      <c r="AR1" s="34" t="str">
        <f t="shared" ca="1" si="0"/>
        <v/>
      </c>
      <c r="AS1" s="34" t="str">
        <f t="shared" ca="1" si="0"/>
        <v/>
      </c>
      <c r="AT1" s="34" t="str">
        <f t="shared" ca="1" si="0"/>
        <v/>
      </c>
      <c r="AU1" s="34" t="str">
        <f t="shared" ca="1" si="0"/>
        <v>ǀ</v>
      </c>
      <c r="AV1" s="34" t="str">
        <f t="shared" ca="1" si="0"/>
        <v/>
      </c>
      <c r="AW1" s="34" t="str">
        <f t="shared" ca="1" si="0"/>
        <v/>
      </c>
      <c r="AX1" s="34" t="str">
        <f t="shared" ca="1" si="0"/>
        <v/>
      </c>
      <c r="AY1" s="34" t="str">
        <f t="shared" ca="1" si="0"/>
        <v/>
      </c>
      <c r="AZ1" s="34" t="str">
        <f t="shared" ca="1" si="0"/>
        <v/>
      </c>
      <c r="BA1" s="34" t="str">
        <f t="shared" ca="1" si="0"/>
        <v/>
      </c>
      <c r="BB1" s="34" t="str">
        <f t="shared" ca="1" si="0"/>
        <v/>
      </c>
      <c r="BC1" s="34" t="str">
        <f t="shared" ca="1" si="0"/>
        <v/>
      </c>
      <c r="BD1" s="34" t="str">
        <f t="shared" ca="1" si="0"/>
        <v/>
      </c>
      <c r="BE1" s="34" t="str">
        <f t="shared" ca="1" si="0"/>
        <v/>
      </c>
      <c r="BF1" s="34" t="str">
        <f t="shared" ca="1" si="0"/>
        <v/>
      </c>
      <c r="BG1" s="34" t="str">
        <f t="shared" ca="1" si="0"/>
        <v/>
      </c>
      <c r="BH1" s="34" t="str">
        <f t="shared" ca="1" si="0"/>
        <v>↓</v>
      </c>
      <c r="BI1" s="34" t="str">
        <f t="shared" ca="1" si="0"/>
        <v/>
      </c>
      <c r="BJ1" s="34" t="str">
        <f t="shared" ca="1" si="0"/>
        <v/>
      </c>
      <c r="BK1" s="34" t="str">
        <f t="shared" ca="1" si="0"/>
        <v/>
      </c>
      <c r="BL1" s="34" t="str">
        <f t="shared" ca="1" si="0"/>
        <v/>
      </c>
      <c r="BM1" s="34" t="str">
        <f t="shared" ca="1" si="0"/>
        <v/>
      </c>
      <c r="BN1" s="34" t="str">
        <f t="shared" ca="1" si="0"/>
        <v/>
      </c>
      <c r="BO1" s="34" t="str">
        <f t="shared" ca="1" si="0"/>
        <v/>
      </c>
      <c r="BP1" s="34" t="str">
        <f t="shared" ca="1" si="0"/>
        <v/>
      </c>
      <c r="BQ1" s="34" t="str">
        <f t="shared" ca="1" si="0"/>
        <v/>
      </c>
      <c r="BR1" s="34" t="str">
        <f t="shared" ca="1" si="0"/>
        <v/>
      </c>
      <c r="BS1" s="34" t="str">
        <f t="shared" ca="1" si="0"/>
        <v/>
      </c>
      <c r="BT1" s="34" t="str">
        <f t="shared" ca="1" si="0"/>
        <v/>
      </c>
      <c r="BU1" s="34" t="str">
        <f t="shared" ca="1" si="0"/>
        <v>ǀ</v>
      </c>
      <c r="BV1" s="34" t="str">
        <f t="shared" ca="1" si="0"/>
        <v/>
      </c>
      <c r="BW1" s="34" t="str">
        <f t="shared" ca="1" si="0"/>
        <v/>
      </c>
      <c r="BX1" s="34" t="str">
        <f t="shared" ca="1" si="0"/>
        <v/>
      </c>
      <c r="BY1" s="34" t="str">
        <f t="shared" ca="1" si="0"/>
        <v/>
      </c>
      <c r="BZ1" s="34" t="str">
        <f t="shared" ca="1" si="0"/>
        <v/>
      </c>
      <c r="CA1" s="34" t="str">
        <f t="shared" ca="1" si="0"/>
        <v/>
      </c>
      <c r="CB1" s="34" t="str">
        <f t="shared" ca="1" si="0"/>
        <v/>
      </c>
      <c r="CC1" s="34" t="str">
        <f t="shared" ca="1" si="0"/>
        <v/>
      </c>
      <c r="CD1" s="34" t="str">
        <f t="shared" ca="1" si="0"/>
        <v/>
      </c>
      <c r="CE1" s="34" t="str">
        <f t="shared" ca="1" si="0"/>
        <v/>
      </c>
      <c r="CF1" s="34" t="str">
        <f t="shared" ca="1" si="0"/>
        <v/>
      </c>
      <c r="CG1" s="34" t="str">
        <f t="shared" ca="1" si="0"/>
        <v/>
      </c>
      <c r="CH1" s="34" t="str">
        <f t="shared" ca="1" si="0"/>
        <v>ǀ</v>
      </c>
      <c r="CI1" s="34" t="str">
        <f t="shared" ca="1" si="0"/>
        <v/>
      </c>
      <c r="CJ1" s="34" t="str">
        <f t="shared" ca="1" si="0"/>
        <v/>
      </c>
      <c r="CK1" s="34" t="str">
        <f t="shared" ca="1" si="0"/>
        <v/>
      </c>
      <c r="CL1" s="34" t="str">
        <f t="shared" ca="1" si="0"/>
        <v/>
      </c>
      <c r="CM1" s="34" t="str">
        <f t="shared" ca="1" si="0"/>
        <v/>
      </c>
      <c r="CN1" s="34" t="str">
        <f t="shared" ca="1" si="0"/>
        <v/>
      </c>
      <c r="CO1" s="34" t="str">
        <f t="shared" ca="1" si="0"/>
        <v/>
      </c>
      <c r="CP1" s="34" t="str">
        <f t="shared" ca="1" si="0"/>
        <v/>
      </c>
      <c r="CQ1" s="34" t="str">
        <f t="shared" ca="1" si="0"/>
        <v/>
      </c>
      <c r="CR1" s="34" t="str">
        <f t="shared" ca="1" si="0"/>
        <v/>
      </c>
      <c r="CS1" s="34" t="str">
        <f t="shared" ca="1" si="0"/>
        <v/>
      </c>
      <c r="CT1" s="34" t="str">
        <f t="shared" ca="1" si="0"/>
        <v/>
      </c>
      <c r="CU1" s="34" t="str">
        <f t="shared" ca="1" si="0"/>
        <v>ǀ</v>
      </c>
      <c r="CV1" s="34" t="str">
        <f t="shared" ca="1" si="0"/>
        <v/>
      </c>
      <c r="CW1" s="34" t="str">
        <f t="shared" ca="1" si="0"/>
        <v/>
      </c>
      <c r="CX1" s="34" t="str">
        <f t="shared" ca="1" si="0"/>
        <v/>
      </c>
      <c r="CY1" s="34" t="str">
        <f t="shared" ca="1" si="0"/>
        <v/>
      </c>
      <c r="CZ1" s="34" t="str">
        <f t="shared" ca="1" si="0"/>
        <v/>
      </c>
      <c r="DA1" s="34" t="str">
        <f t="shared" ca="1" si="0"/>
        <v/>
      </c>
      <c r="DB1" s="34" t="str">
        <f t="shared" ca="1" si="0"/>
        <v/>
      </c>
      <c r="DC1" s="34" t="str">
        <f t="shared" ca="1" si="0"/>
        <v/>
      </c>
      <c r="DD1" s="34" t="str">
        <f t="shared" ca="1" si="0"/>
        <v/>
      </c>
      <c r="DE1" s="36"/>
      <c r="DF1" s="37"/>
    </row>
    <row r="2" spans="1:136" ht="13.95" customHeight="1" x14ac:dyDescent="0.3">
      <c r="A2" s="18"/>
      <c r="B2" s="30"/>
      <c r="C2" s="19"/>
      <c r="D2" s="32" t="s">
        <v>58</v>
      </c>
      <c r="E2" s="11">
        <f>DATE(D1,1,4)-WEEKDAY(DATE(D1,1,4),2)+1+(E4-1)*7</f>
        <v>46181</v>
      </c>
      <c r="F2" s="12">
        <f>E2+7</f>
        <v>46188</v>
      </c>
      <c r="G2" s="12">
        <f t="shared" ref="G2:BC2" si="1">F2+7</f>
        <v>46195</v>
      </c>
      <c r="H2" s="13">
        <f t="shared" si="1"/>
        <v>46202</v>
      </c>
      <c r="I2" s="12">
        <f t="shared" si="1"/>
        <v>46209</v>
      </c>
      <c r="J2" s="12">
        <f t="shared" si="1"/>
        <v>46216</v>
      </c>
      <c r="K2" s="12">
        <f t="shared" si="1"/>
        <v>46223</v>
      </c>
      <c r="L2" s="12">
        <f t="shared" si="1"/>
        <v>46230</v>
      </c>
      <c r="M2" s="13">
        <f t="shared" si="1"/>
        <v>46237</v>
      </c>
      <c r="N2" s="12">
        <f t="shared" si="1"/>
        <v>46244</v>
      </c>
      <c r="O2" s="13">
        <f t="shared" si="1"/>
        <v>46251</v>
      </c>
      <c r="P2" s="12">
        <f t="shared" si="1"/>
        <v>46258</v>
      </c>
      <c r="Q2" s="13">
        <f t="shared" si="1"/>
        <v>46265</v>
      </c>
      <c r="R2" s="12">
        <f t="shared" si="1"/>
        <v>46272</v>
      </c>
      <c r="S2" s="13">
        <f t="shared" si="1"/>
        <v>46279</v>
      </c>
      <c r="T2" s="12">
        <f t="shared" si="1"/>
        <v>46286</v>
      </c>
      <c r="U2" s="13">
        <f t="shared" si="1"/>
        <v>46293</v>
      </c>
      <c r="V2" s="12">
        <f t="shared" si="1"/>
        <v>46300</v>
      </c>
      <c r="W2" s="13">
        <f t="shared" si="1"/>
        <v>46307</v>
      </c>
      <c r="X2" s="12">
        <f t="shared" si="1"/>
        <v>46314</v>
      </c>
      <c r="Y2" s="13">
        <f t="shared" si="1"/>
        <v>46321</v>
      </c>
      <c r="Z2" s="12">
        <f t="shared" si="1"/>
        <v>46328</v>
      </c>
      <c r="AA2" s="13">
        <f t="shared" si="1"/>
        <v>46335</v>
      </c>
      <c r="AB2" s="12">
        <f t="shared" si="1"/>
        <v>46342</v>
      </c>
      <c r="AC2" s="13">
        <f t="shared" si="1"/>
        <v>46349</v>
      </c>
      <c r="AD2" s="12">
        <f t="shared" si="1"/>
        <v>46356</v>
      </c>
      <c r="AE2" s="13">
        <f t="shared" si="1"/>
        <v>46363</v>
      </c>
      <c r="AF2" s="12">
        <f t="shared" si="1"/>
        <v>46370</v>
      </c>
      <c r="AG2" s="13">
        <f t="shared" si="1"/>
        <v>46377</v>
      </c>
      <c r="AH2" s="12">
        <f t="shared" si="1"/>
        <v>46384</v>
      </c>
      <c r="AI2" s="13">
        <f t="shared" si="1"/>
        <v>46391</v>
      </c>
      <c r="AJ2" s="12">
        <f t="shared" si="1"/>
        <v>46398</v>
      </c>
      <c r="AK2" s="13">
        <f t="shared" si="1"/>
        <v>46405</v>
      </c>
      <c r="AL2" s="12">
        <f t="shared" si="1"/>
        <v>46412</v>
      </c>
      <c r="AM2" s="13">
        <f t="shared" si="1"/>
        <v>46419</v>
      </c>
      <c r="AN2" s="12">
        <f t="shared" si="1"/>
        <v>46426</v>
      </c>
      <c r="AO2" s="13">
        <f t="shared" si="1"/>
        <v>46433</v>
      </c>
      <c r="AP2" s="12">
        <f t="shared" si="1"/>
        <v>46440</v>
      </c>
      <c r="AQ2" s="13">
        <f t="shared" si="1"/>
        <v>46447</v>
      </c>
      <c r="AR2" s="12">
        <f t="shared" si="1"/>
        <v>46454</v>
      </c>
      <c r="AS2" s="13">
        <f t="shared" si="1"/>
        <v>46461</v>
      </c>
      <c r="AT2" s="12">
        <f t="shared" si="1"/>
        <v>46468</v>
      </c>
      <c r="AU2" s="13">
        <f t="shared" si="1"/>
        <v>46475</v>
      </c>
      <c r="AV2" s="12">
        <f t="shared" si="1"/>
        <v>46482</v>
      </c>
      <c r="AW2" s="13">
        <f t="shared" si="1"/>
        <v>46489</v>
      </c>
      <c r="AX2" s="12">
        <f t="shared" si="1"/>
        <v>46496</v>
      </c>
      <c r="AY2" s="13">
        <f t="shared" si="1"/>
        <v>46503</v>
      </c>
      <c r="AZ2" s="12">
        <f t="shared" si="1"/>
        <v>46510</v>
      </c>
      <c r="BA2" s="13">
        <f t="shared" si="1"/>
        <v>46517</v>
      </c>
      <c r="BB2" s="12">
        <f t="shared" si="1"/>
        <v>46524</v>
      </c>
      <c r="BC2" s="13">
        <f t="shared" si="1"/>
        <v>46531</v>
      </c>
      <c r="BD2" s="12">
        <f t="shared" ref="BD2" si="2">BC2+7</f>
        <v>46538</v>
      </c>
      <c r="BE2" s="13">
        <f t="shared" ref="BE2" si="3">BD2+7</f>
        <v>46545</v>
      </c>
      <c r="BF2" s="12">
        <f t="shared" ref="BF2" si="4">BE2+7</f>
        <v>46552</v>
      </c>
      <c r="BG2" s="13">
        <f t="shared" ref="BG2" si="5">BF2+7</f>
        <v>46559</v>
      </c>
      <c r="BH2" s="12">
        <f t="shared" ref="BH2" si="6">BG2+7</f>
        <v>46566</v>
      </c>
      <c r="BI2" s="13">
        <f t="shared" ref="BI2" si="7">BH2+7</f>
        <v>46573</v>
      </c>
      <c r="BJ2" s="12">
        <f t="shared" ref="BJ2" si="8">BI2+7</f>
        <v>46580</v>
      </c>
      <c r="BK2" s="13">
        <f t="shared" ref="BK2" si="9">BJ2+7</f>
        <v>46587</v>
      </c>
      <c r="BL2" s="12">
        <f t="shared" ref="BL2" si="10">BK2+7</f>
        <v>46594</v>
      </c>
      <c r="BM2" s="13">
        <f t="shared" ref="BM2" si="11">BL2+7</f>
        <v>46601</v>
      </c>
      <c r="BN2" s="12">
        <f t="shared" ref="BN2" si="12">BM2+7</f>
        <v>46608</v>
      </c>
      <c r="BO2" s="13">
        <f t="shared" ref="BO2" si="13">BN2+7</f>
        <v>46615</v>
      </c>
      <c r="BP2" s="12">
        <f t="shared" ref="BP2" si="14">BO2+7</f>
        <v>46622</v>
      </c>
      <c r="BQ2" s="13">
        <f t="shared" ref="BQ2" si="15">BP2+7</f>
        <v>46629</v>
      </c>
      <c r="BR2" s="12">
        <f t="shared" ref="BR2" si="16">BQ2+7</f>
        <v>46636</v>
      </c>
      <c r="BS2" s="13">
        <f t="shared" ref="BS2" si="17">BR2+7</f>
        <v>46643</v>
      </c>
      <c r="BT2" s="12">
        <f t="shared" ref="BT2" si="18">BS2+7</f>
        <v>46650</v>
      </c>
      <c r="BU2" s="13">
        <f t="shared" ref="BU2" si="19">BT2+7</f>
        <v>46657</v>
      </c>
      <c r="BV2" s="12">
        <f t="shared" ref="BV2" si="20">BU2+7</f>
        <v>46664</v>
      </c>
      <c r="BW2" s="13">
        <f t="shared" ref="BW2" si="21">BV2+7</f>
        <v>46671</v>
      </c>
      <c r="BX2" s="12">
        <f t="shared" ref="BX2" si="22">BW2+7</f>
        <v>46678</v>
      </c>
      <c r="BY2" s="13">
        <f t="shared" ref="BY2" si="23">BX2+7</f>
        <v>46685</v>
      </c>
      <c r="BZ2" s="12">
        <f t="shared" ref="BZ2" si="24">BY2+7</f>
        <v>46692</v>
      </c>
      <c r="CA2" s="13">
        <f t="shared" ref="CA2" si="25">BZ2+7</f>
        <v>46699</v>
      </c>
      <c r="CB2" s="12">
        <f t="shared" ref="CB2" si="26">CA2+7</f>
        <v>46706</v>
      </c>
      <c r="CC2" s="13">
        <f t="shared" ref="CC2" si="27">CB2+7</f>
        <v>46713</v>
      </c>
      <c r="CD2" s="12">
        <f t="shared" ref="CD2" si="28">CC2+7</f>
        <v>46720</v>
      </c>
      <c r="CE2" s="13">
        <f t="shared" ref="CE2" si="29">CD2+7</f>
        <v>46727</v>
      </c>
      <c r="CF2" s="12">
        <f t="shared" ref="CF2" si="30">CE2+7</f>
        <v>46734</v>
      </c>
      <c r="CG2" s="13">
        <f t="shared" ref="CG2" si="31">CF2+7</f>
        <v>46741</v>
      </c>
      <c r="CH2" s="12">
        <f t="shared" ref="CH2" si="32">CG2+7</f>
        <v>46748</v>
      </c>
      <c r="CI2" s="13">
        <f t="shared" ref="CI2" si="33">CH2+7</f>
        <v>46755</v>
      </c>
      <c r="CJ2" s="12">
        <f t="shared" ref="CJ2" si="34">CI2+7</f>
        <v>46762</v>
      </c>
      <c r="CK2" s="13">
        <f t="shared" ref="CK2" si="35">CJ2+7</f>
        <v>46769</v>
      </c>
      <c r="CL2" s="12">
        <f t="shared" ref="CL2" si="36">CK2+7</f>
        <v>46776</v>
      </c>
      <c r="CM2" s="13">
        <f t="shared" ref="CM2" si="37">CL2+7</f>
        <v>46783</v>
      </c>
      <c r="CN2" s="12">
        <f t="shared" ref="CN2" si="38">CM2+7</f>
        <v>46790</v>
      </c>
      <c r="CO2" s="13">
        <f t="shared" ref="CO2" si="39">CN2+7</f>
        <v>46797</v>
      </c>
      <c r="CP2" s="12">
        <f t="shared" ref="CP2" si="40">CO2+7</f>
        <v>46804</v>
      </c>
      <c r="CQ2" s="13">
        <f t="shared" ref="CQ2" si="41">CP2+7</f>
        <v>46811</v>
      </c>
      <c r="CR2" s="12">
        <f t="shared" ref="CR2" si="42">CQ2+7</f>
        <v>46818</v>
      </c>
      <c r="CS2" s="13">
        <f t="shared" ref="CS2" si="43">CR2+7</f>
        <v>46825</v>
      </c>
      <c r="CT2" s="12">
        <f t="shared" ref="CT2" si="44">CS2+7</f>
        <v>46832</v>
      </c>
      <c r="CU2" s="13">
        <f t="shared" ref="CU2" si="45">CT2+7</f>
        <v>46839</v>
      </c>
      <c r="CV2" s="12">
        <f t="shared" ref="CV2" si="46">CU2+7</f>
        <v>46846</v>
      </c>
      <c r="CW2" s="13">
        <f t="shared" ref="CW2" si="47">CV2+7</f>
        <v>46853</v>
      </c>
      <c r="CX2" s="12">
        <f t="shared" ref="CX2" si="48">CW2+7</f>
        <v>46860</v>
      </c>
      <c r="CY2" s="13">
        <f t="shared" ref="CY2" si="49">CX2+7</f>
        <v>46867</v>
      </c>
      <c r="CZ2" s="12">
        <f t="shared" ref="CZ2" si="50">CY2+7</f>
        <v>46874</v>
      </c>
      <c r="DA2" s="13">
        <f t="shared" ref="DA2" si="51">CZ2+7</f>
        <v>46881</v>
      </c>
      <c r="DB2" s="12">
        <f t="shared" ref="DB2" si="52">DA2+7</f>
        <v>46888</v>
      </c>
      <c r="DC2" s="13">
        <f t="shared" ref="DC2" si="53">DB2+7</f>
        <v>46895</v>
      </c>
      <c r="DD2" s="12">
        <f t="shared" ref="DD2" si="54">DC2+7</f>
        <v>46902</v>
      </c>
      <c r="DE2" s="24"/>
      <c r="DF2" s="39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</row>
    <row r="3" spans="1:136" ht="13.95" customHeight="1" thickBot="1" x14ac:dyDescent="0.35">
      <c r="A3" s="18"/>
      <c r="B3" s="30"/>
      <c r="C3" s="19"/>
      <c r="D3" s="20" t="s">
        <v>4</v>
      </c>
      <c r="E3" s="11">
        <f>E2+4</f>
        <v>46185</v>
      </c>
      <c r="F3" s="12">
        <f>F2+4</f>
        <v>46192</v>
      </c>
      <c r="G3" s="12">
        <f t="shared" ref="G3:BB3" si="55">G2+4</f>
        <v>46199</v>
      </c>
      <c r="H3" s="12">
        <f t="shared" si="55"/>
        <v>46206</v>
      </c>
      <c r="I3" s="12">
        <f t="shared" si="55"/>
        <v>46213</v>
      </c>
      <c r="J3" s="12">
        <f t="shared" si="55"/>
        <v>46220</v>
      </c>
      <c r="K3" s="12">
        <f t="shared" si="55"/>
        <v>46227</v>
      </c>
      <c r="L3" s="12">
        <f t="shared" si="55"/>
        <v>46234</v>
      </c>
      <c r="M3" s="12">
        <f t="shared" si="55"/>
        <v>46241</v>
      </c>
      <c r="N3" s="12">
        <f t="shared" si="55"/>
        <v>46248</v>
      </c>
      <c r="O3" s="12">
        <f t="shared" si="55"/>
        <v>46255</v>
      </c>
      <c r="P3" s="12">
        <f t="shared" si="55"/>
        <v>46262</v>
      </c>
      <c r="Q3" s="12">
        <f t="shared" si="55"/>
        <v>46269</v>
      </c>
      <c r="R3" s="12">
        <f t="shared" si="55"/>
        <v>46276</v>
      </c>
      <c r="S3" s="12">
        <f t="shared" si="55"/>
        <v>46283</v>
      </c>
      <c r="T3" s="12">
        <f t="shared" si="55"/>
        <v>46290</v>
      </c>
      <c r="U3" s="12">
        <f t="shared" si="55"/>
        <v>46297</v>
      </c>
      <c r="V3" s="12">
        <f t="shared" si="55"/>
        <v>46304</v>
      </c>
      <c r="W3" s="12">
        <f t="shared" si="55"/>
        <v>46311</v>
      </c>
      <c r="X3" s="12">
        <f t="shared" si="55"/>
        <v>46318</v>
      </c>
      <c r="Y3" s="12">
        <f t="shared" si="55"/>
        <v>46325</v>
      </c>
      <c r="Z3" s="12">
        <f t="shared" si="55"/>
        <v>46332</v>
      </c>
      <c r="AA3" s="12">
        <f t="shared" si="55"/>
        <v>46339</v>
      </c>
      <c r="AB3" s="12">
        <f t="shared" si="55"/>
        <v>46346</v>
      </c>
      <c r="AC3" s="12">
        <f t="shared" si="55"/>
        <v>46353</v>
      </c>
      <c r="AD3" s="12">
        <f t="shared" si="55"/>
        <v>46360</v>
      </c>
      <c r="AE3" s="12">
        <f t="shared" si="55"/>
        <v>46367</v>
      </c>
      <c r="AF3" s="12">
        <f t="shared" si="55"/>
        <v>46374</v>
      </c>
      <c r="AG3" s="12">
        <f t="shared" si="55"/>
        <v>46381</v>
      </c>
      <c r="AH3" s="12">
        <f t="shared" si="55"/>
        <v>46388</v>
      </c>
      <c r="AI3" s="12">
        <f t="shared" si="55"/>
        <v>46395</v>
      </c>
      <c r="AJ3" s="12">
        <f t="shared" si="55"/>
        <v>46402</v>
      </c>
      <c r="AK3" s="12">
        <f t="shared" si="55"/>
        <v>46409</v>
      </c>
      <c r="AL3" s="12">
        <f t="shared" si="55"/>
        <v>46416</v>
      </c>
      <c r="AM3" s="12">
        <f t="shared" si="55"/>
        <v>46423</v>
      </c>
      <c r="AN3" s="12">
        <f t="shared" si="55"/>
        <v>46430</v>
      </c>
      <c r="AO3" s="12">
        <f t="shared" si="55"/>
        <v>46437</v>
      </c>
      <c r="AP3" s="12">
        <f t="shared" si="55"/>
        <v>46444</v>
      </c>
      <c r="AQ3" s="12">
        <f t="shared" si="55"/>
        <v>46451</v>
      </c>
      <c r="AR3" s="12">
        <f t="shared" si="55"/>
        <v>46458</v>
      </c>
      <c r="AS3" s="12">
        <f t="shared" si="55"/>
        <v>46465</v>
      </c>
      <c r="AT3" s="12">
        <f t="shared" si="55"/>
        <v>46472</v>
      </c>
      <c r="AU3" s="12">
        <f t="shared" si="55"/>
        <v>46479</v>
      </c>
      <c r="AV3" s="12">
        <f t="shared" si="55"/>
        <v>46486</v>
      </c>
      <c r="AW3" s="12">
        <f t="shared" si="55"/>
        <v>46493</v>
      </c>
      <c r="AX3" s="12">
        <f t="shared" si="55"/>
        <v>46500</v>
      </c>
      <c r="AY3" s="12">
        <f t="shared" si="55"/>
        <v>46507</v>
      </c>
      <c r="AZ3" s="12">
        <f t="shared" si="55"/>
        <v>46514</v>
      </c>
      <c r="BA3" s="12">
        <f t="shared" si="55"/>
        <v>46521</v>
      </c>
      <c r="BB3" s="12">
        <f t="shared" si="55"/>
        <v>46528</v>
      </c>
      <c r="BC3" s="13">
        <f>BC2+4</f>
        <v>46535</v>
      </c>
      <c r="BD3" s="12">
        <f t="shared" ref="BD3:DD3" si="56">BD2+4</f>
        <v>46542</v>
      </c>
      <c r="BE3" s="12">
        <f t="shared" si="56"/>
        <v>46549</v>
      </c>
      <c r="BF3" s="12">
        <f t="shared" si="56"/>
        <v>46556</v>
      </c>
      <c r="BG3" s="13">
        <f t="shared" si="56"/>
        <v>46563</v>
      </c>
      <c r="BH3" s="12">
        <f t="shared" si="56"/>
        <v>46570</v>
      </c>
      <c r="BI3" s="12">
        <f t="shared" si="56"/>
        <v>46577</v>
      </c>
      <c r="BJ3" s="12">
        <f t="shared" si="56"/>
        <v>46584</v>
      </c>
      <c r="BK3" s="13">
        <f t="shared" si="56"/>
        <v>46591</v>
      </c>
      <c r="BL3" s="12">
        <f t="shared" si="56"/>
        <v>46598</v>
      </c>
      <c r="BM3" s="12">
        <f t="shared" si="56"/>
        <v>46605</v>
      </c>
      <c r="BN3" s="12">
        <f t="shared" si="56"/>
        <v>46612</v>
      </c>
      <c r="BO3" s="13">
        <f t="shared" si="56"/>
        <v>46619</v>
      </c>
      <c r="BP3" s="12">
        <f t="shared" si="56"/>
        <v>46626</v>
      </c>
      <c r="BQ3" s="12">
        <f t="shared" si="56"/>
        <v>46633</v>
      </c>
      <c r="BR3" s="12">
        <f t="shared" si="56"/>
        <v>46640</v>
      </c>
      <c r="BS3" s="13">
        <f t="shared" si="56"/>
        <v>46647</v>
      </c>
      <c r="BT3" s="12">
        <f t="shared" si="56"/>
        <v>46654</v>
      </c>
      <c r="BU3" s="12">
        <f t="shared" si="56"/>
        <v>46661</v>
      </c>
      <c r="BV3" s="12">
        <f t="shared" si="56"/>
        <v>46668</v>
      </c>
      <c r="BW3" s="13">
        <f t="shared" si="56"/>
        <v>46675</v>
      </c>
      <c r="BX3" s="12">
        <f t="shared" si="56"/>
        <v>46682</v>
      </c>
      <c r="BY3" s="12">
        <f t="shared" si="56"/>
        <v>46689</v>
      </c>
      <c r="BZ3" s="12">
        <f t="shared" si="56"/>
        <v>46696</v>
      </c>
      <c r="CA3" s="13">
        <f t="shared" si="56"/>
        <v>46703</v>
      </c>
      <c r="CB3" s="12">
        <f t="shared" si="56"/>
        <v>46710</v>
      </c>
      <c r="CC3" s="12">
        <f t="shared" si="56"/>
        <v>46717</v>
      </c>
      <c r="CD3" s="12">
        <f t="shared" si="56"/>
        <v>46724</v>
      </c>
      <c r="CE3" s="13">
        <f t="shared" si="56"/>
        <v>46731</v>
      </c>
      <c r="CF3" s="12">
        <f t="shared" si="56"/>
        <v>46738</v>
      </c>
      <c r="CG3" s="12">
        <f t="shared" si="56"/>
        <v>46745</v>
      </c>
      <c r="CH3" s="12">
        <f t="shared" si="56"/>
        <v>46752</v>
      </c>
      <c r="CI3" s="13">
        <f t="shared" si="56"/>
        <v>46759</v>
      </c>
      <c r="CJ3" s="12">
        <f t="shared" si="56"/>
        <v>46766</v>
      </c>
      <c r="CK3" s="12">
        <f t="shared" si="56"/>
        <v>46773</v>
      </c>
      <c r="CL3" s="12">
        <f t="shared" si="56"/>
        <v>46780</v>
      </c>
      <c r="CM3" s="13">
        <f t="shared" si="56"/>
        <v>46787</v>
      </c>
      <c r="CN3" s="12">
        <f t="shared" si="56"/>
        <v>46794</v>
      </c>
      <c r="CO3" s="12">
        <f t="shared" si="56"/>
        <v>46801</v>
      </c>
      <c r="CP3" s="12">
        <f t="shared" si="56"/>
        <v>46808</v>
      </c>
      <c r="CQ3" s="13">
        <f t="shared" si="56"/>
        <v>46815</v>
      </c>
      <c r="CR3" s="12">
        <f t="shared" si="56"/>
        <v>46822</v>
      </c>
      <c r="CS3" s="12">
        <f t="shared" si="56"/>
        <v>46829</v>
      </c>
      <c r="CT3" s="12">
        <f t="shared" si="56"/>
        <v>46836</v>
      </c>
      <c r="CU3" s="13">
        <f t="shared" si="56"/>
        <v>46843</v>
      </c>
      <c r="CV3" s="12">
        <f t="shared" si="56"/>
        <v>46850</v>
      </c>
      <c r="CW3" s="12">
        <f t="shared" si="56"/>
        <v>46857</v>
      </c>
      <c r="CX3" s="12">
        <f t="shared" si="56"/>
        <v>46864</v>
      </c>
      <c r="CY3" s="13">
        <f t="shared" si="56"/>
        <v>46871</v>
      </c>
      <c r="CZ3" s="12">
        <f t="shared" si="56"/>
        <v>46878</v>
      </c>
      <c r="DA3" s="12">
        <f t="shared" si="56"/>
        <v>46885</v>
      </c>
      <c r="DB3" s="12">
        <f t="shared" si="56"/>
        <v>46892</v>
      </c>
      <c r="DC3" s="13">
        <f t="shared" si="56"/>
        <v>46899</v>
      </c>
      <c r="DD3" s="12">
        <f t="shared" si="56"/>
        <v>46906</v>
      </c>
      <c r="DE3" s="24"/>
      <c r="DF3" s="40"/>
      <c r="DG3" s="6"/>
      <c r="DH3" s="29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</row>
    <row r="4" spans="1:136" ht="13.95" customHeight="1" thickBot="1" x14ac:dyDescent="0.35">
      <c r="A4" s="21"/>
      <c r="B4" s="31"/>
      <c r="C4" s="22"/>
      <c r="D4" s="23" t="s">
        <v>57</v>
      </c>
      <c r="E4" s="43">
        <v>24</v>
      </c>
      <c r="F4" s="35">
        <f>_xlfn.ISOWEEKNUM(F2)</f>
        <v>25</v>
      </c>
      <c r="G4" s="9">
        <f t="shared" ref="G4" si="57">_xlfn.ISOWEEKNUM(G2)</f>
        <v>26</v>
      </c>
      <c r="H4" s="10">
        <f>_xlfn.ISOWEEKNUM(H2)</f>
        <v>27</v>
      </c>
      <c r="I4" s="9">
        <f t="shared" ref="I4:BC4" si="58">_xlfn.ISOWEEKNUM(I2)</f>
        <v>28</v>
      </c>
      <c r="J4" s="9">
        <f t="shared" si="58"/>
        <v>29</v>
      </c>
      <c r="K4" s="9">
        <f t="shared" si="58"/>
        <v>30</v>
      </c>
      <c r="L4" s="9">
        <f t="shared" si="58"/>
        <v>31</v>
      </c>
      <c r="M4" s="10">
        <f t="shared" si="58"/>
        <v>32</v>
      </c>
      <c r="N4" s="9">
        <f t="shared" si="58"/>
        <v>33</v>
      </c>
      <c r="O4" s="10">
        <f t="shared" si="58"/>
        <v>34</v>
      </c>
      <c r="P4" s="9">
        <f t="shared" si="58"/>
        <v>35</v>
      </c>
      <c r="Q4" s="10">
        <f t="shared" si="58"/>
        <v>36</v>
      </c>
      <c r="R4" s="9">
        <f t="shared" si="58"/>
        <v>37</v>
      </c>
      <c r="S4" s="10">
        <f t="shared" si="58"/>
        <v>38</v>
      </c>
      <c r="T4" s="9">
        <f t="shared" si="58"/>
        <v>39</v>
      </c>
      <c r="U4" s="10">
        <f t="shared" si="58"/>
        <v>40</v>
      </c>
      <c r="V4" s="9">
        <f t="shared" si="58"/>
        <v>41</v>
      </c>
      <c r="W4" s="10">
        <f t="shared" si="58"/>
        <v>42</v>
      </c>
      <c r="X4" s="9">
        <f t="shared" si="58"/>
        <v>43</v>
      </c>
      <c r="Y4" s="10">
        <f t="shared" si="58"/>
        <v>44</v>
      </c>
      <c r="Z4" s="9">
        <f t="shared" si="58"/>
        <v>45</v>
      </c>
      <c r="AA4" s="10">
        <f t="shared" si="58"/>
        <v>46</v>
      </c>
      <c r="AB4" s="9">
        <f t="shared" si="58"/>
        <v>47</v>
      </c>
      <c r="AC4" s="10">
        <f t="shared" si="58"/>
        <v>48</v>
      </c>
      <c r="AD4" s="9">
        <f t="shared" si="58"/>
        <v>49</v>
      </c>
      <c r="AE4" s="10">
        <f t="shared" si="58"/>
        <v>50</v>
      </c>
      <c r="AF4" s="9">
        <f t="shared" si="58"/>
        <v>51</v>
      </c>
      <c r="AG4" s="10">
        <f t="shared" si="58"/>
        <v>52</v>
      </c>
      <c r="AH4" s="9">
        <f t="shared" si="58"/>
        <v>53</v>
      </c>
      <c r="AI4" s="10">
        <f t="shared" si="58"/>
        <v>1</v>
      </c>
      <c r="AJ4" s="9">
        <f t="shared" si="58"/>
        <v>2</v>
      </c>
      <c r="AK4" s="10">
        <f t="shared" si="58"/>
        <v>3</v>
      </c>
      <c r="AL4" s="9">
        <f t="shared" si="58"/>
        <v>4</v>
      </c>
      <c r="AM4" s="10">
        <f t="shared" si="58"/>
        <v>5</v>
      </c>
      <c r="AN4" s="9">
        <f t="shared" si="58"/>
        <v>6</v>
      </c>
      <c r="AO4" s="10">
        <f t="shared" si="58"/>
        <v>7</v>
      </c>
      <c r="AP4" s="9">
        <f t="shared" si="58"/>
        <v>8</v>
      </c>
      <c r="AQ4" s="10">
        <f t="shared" si="58"/>
        <v>9</v>
      </c>
      <c r="AR4" s="9">
        <f t="shared" si="58"/>
        <v>10</v>
      </c>
      <c r="AS4" s="10">
        <f t="shared" si="58"/>
        <v>11</v>
      </c>
      <c r="AT4" s="9">
        <f t="shared" si="58"/>
        <v>12</v>
      </c>
      <c r="AU4" s="10">
        <f t="shared" si="58"/>
        <v>13</v>
      </c>
      <c r="AV4" s="9">
        <f t="shared" si="58"/>
        <v>14</v>
      </c>
      <c r="AW4" s="10">
        <f t="shared" si="58"/>
        <v>15</v>
      </c>
      <c r="AX4" s="9">
        <f t="shared" si="58"/>
        <v>16</v>
      </c>
      <c r="AY4" s="10">
        <f t="shared" si="58"/>
        <v>17</v>
      </c>
      <c r="AZ4" s="9">
        <f t="shared" si="58"/>
        <v>18</v>
      </c>
      <c r="BA4" s="10">
        <f t="shared" si="58"/>
        <v>19</v>
      </c>
      <c r="BB4" s="9">
        <f t="shared" si="58"/>
        <v>20</v>
      </c>
      <c r="BC4" s="10">
        <f t="shared" si="58"/>
        <v>21</v>
      </c>
      <c r="BD4" s="9">
        <f t="shared" ref="BD4:DD4" si="59">_xlfn.ISOWEEKNUM(BD2)</f>
        <v>22</v>
      </c>
      <c r="BE4" s="10">
        <f t="shared" si="59"/>
        <v>23</v>
      </c>
      <c r="BF4" s="9">
        <f t="shared" si="59"/>
        <v>24</v>
      </c>
      <c r="BG4" s="10">
        <f t="shared" si="59"/>
        <v>25</v>
      </c>
      <c r="BH4" s="9">
        <f t="shared" si="59"/>
        <v>26</v>
      </c>
      <c r="BI4" s="10">
        <f t="shared" si="59"/>
        <v>27</v>
      </c>
      <c r="BJ4" s="9">
        <f t="shared" si="59"/>
        <v>28</v>
      </c>
      <c r="BK4" s="10">
        <f t="shared" si="59"/>
        <v>29</v>
      </c>
      <c r="BL4" s="9">
        <f t="shared" si="59"/>
        <v>30</v>
      </c>
      <c r="BM4" s="10">
        <f t="shared" si="59"/>
        <v>31</v>
      </c>
      <c r="BN4" s="9">
        <f t="shared" si="59"/>
        <v>32</v>
      </c>
      <c r="BO4" s="10">
        <f t="shared" si="59"/>
        <v>33</v>
      </c>
      <c r="BP4" s="9">
        <f t="shared" si="59"/>
        <v>34</v>
      </c>
      <c r="BQ4" s="10">
        <f t="shared" si="59"/>
        <v>35</v>
      </c>
      <c r="BR4" s="9">
        <f t="shared" si="59"/>
        <v>36</v>
      </c>
      <c r="BS4" s="10">
        <f t="shared" si="59"/>
        <v>37</v>
      </c>
      <c r="BT4" s="9">
        <f t="shared" si="59"/>
        <v>38</v>
      </c>
      <c r="BU4" s="10">
        <f t="shared" si="59"/>
        <v>39</v>
      </c>
      <c r="BV4" s="9">
        <f t="shared" si="59"/>
        <v>40</v>
      </c>
      <c r="BW4" s="10">
        <f t="shared" si="59"/>
        <v>41</v>
      </c>
      <c r="BX4" s="9">
        <f t="shared" si="59"/>
        <v>42</v>
      </c>
      <c r="BY4" s="10">
        <f t="shared" si="59"/>
        <v>43</v>
      </c>
      <c r="BZ4" s="9">
        <f t="shared" si="59"/>
        <v>44</v>
      </c>
      <c r="CA4" s="10">
        <f t="shared" si="59"/>
        <v>45</v>
      </c>
      <c r="CB4" s="9">
        <f t="shared" si="59"/>
        <v>46</v>
      </c>
      <c r="CC4" s="10">
        <f t="shared" si="59"/>
        <v>47</v>
      </c>
      <c r="CD4" s="9">
        <f t="shared" si="59"/>
        <v>48</v>
      </c>
      <c r="CE4" s="10">
        <f t="shared" si="59"/>
        <v>49</v>
      </c>
      <c r="CF4" s="9">
        <f t="shared" si="59"/>
        <v>50</v>
      </c>
      <c r="CG4" s="10">
        <f t="shared" si="59"/>
        <v>51</v>
      </c>
      <c r="CH4" s="9">
        <f t="shared" si="59"/>
        <v>52</v>
      </c>
      <c r="CI4" s="10">
        <f t="shared" si="59"/>
        <v>1</v>
      </c>
      <c r="CJ4" s="9">
        <f t="shared" si="59"/>
        <v>2</v>
      </c>
      <c r="CK4" s="10">
        <f t="shared" si="59"/>
        <v>3</v>
      </c>
      <c r="CL4" s="9">
        <f t="shared" si="59"/>
        <v>4</v>
      </c>
      <c r="CM4" s="10">
        <f t="shared" si="59"/>
        <v>5</v>
      </c>
      <c r="CN4" s="9">
        <f t="shared" si="59"/>
        <v>6</v>
      </c>
      <c r="CO4" s="10">
        <f t="shared" si="59"/>
        <v>7</v>
      </c>
      <c r="CP4" s="9">
        <f t="shared" si="59"/>
        <v>8</v>
      </c>
      <c r="CQ4" s="10">
        <f t="shared" si="59"/>
        <v>9</v>
      </c>
      <c r="CR4" s="9">
        <f t="shared" si="59"/>
        <v>10</v>
      </c>
      <c r="CS4" s="10">
        <f t="shared" si="59"/>
        <v>11</v>
      </c>
      <c r="CT4" s="9">
        <f t="shared" si="59"/>
        <v>12</v>
      </c>
      <c r="CU4" s="10">
        <f t="shared" si="59"/>
        <v>13</v>
      </c>
      <c r="CV4" s="9">
        <f t="shared" si="59"/>
        <v>14</v>
      </c>
      <c r="CW4" s="10">
        <f t="shared" si="59"/>
        <v>15</v>
      </c>
      <c r="CX4" s="9">
        <f t="shared" si="59"/>
        <v>16</v>
      </c>
      <c r="CY4" s="10">
        <f t="shared" si="59"/>
        <v>17</v>
      </c>
      <c r="CZ4" s="9">
        <f t="shared" si="59"/>
        <v>18</v>
      </c>
      <c r="DA4" s="10">
        <f t="shared" si="59"/>
        <v>19</v>
      </c>
      <c r="DB4" s="9">
        <f t="shared" si="59"/>
        <v>20</v>
      </c>
      <c r="DC4" s="10">
        <f t="shared" si="59"/>
        <v>21</v>
      </c>
      <c r="DD4" s="9">
        <f t="shared" si="59"/>
        <v>22</v>
      </c>
      <c r="DE4" s="25"/>
      <c r="DF4" s="41"/>
    </row>
    <row r="5" spans="1:136" x14ac:dyDescent="0.3">
      <c r="A5" s="26" t="s">
        <v>62</v>
      </c>
      <c r="B5" s="27" t="s">
        <v>3</v>
      </c>
      <c r="C5" s="27" t="s">
        <v>0</v>
      </c>
      <c r="D5" s="28" t="s">
        <v>2</v>
      </c>
      <c r="E5" s="79" t="s">
        <v>5</v>
      </c>
      <c r="F5" s="79" t="s">
        <v>6</v>
      </c>
      <c r="G5" s="79" t="s">
        <v>7</v>
      </c>
      <c r="H5" s="79" t="s">
        <v>8</v>
      </c>
      <c r="I5" s="79" t="s">
        <v>9</v>
      </c>
      <c r="J5" s="79" t="s">
        <v>10</v>
      </c>
      <c r="K5" s="79" t="s">
        <v>11</v>
      </c>
      <c r="L5" s="79" t="s">
        <v>12</v>
      </c>
      <c r="M5" s="79" t="s">
        <v>13</v>
      </c>
      <c r="N5" s="79" t="s">
        <v>14</v>
      </c>
      <c r="O5" s="79" t="s">
        <v>15</v>
      </c>
      <c r="P5" s="79" t="s">
        <v>16</v>
      </c>
      <c r="Q5" s="79" t="s">
        <v>17</v>
      </c>
      <c r="R5" s="79" t="s">
        <v>18</v>
      </c>
      <c r="S5" s="79" t="s">
        <v>19</v>
      </c>
      <c r="T5" s="79" t="s">
        <v>20</v>
      </c>
      <c r="U5" s="79" t="s">
        <v>21</v>
      </c>
      <c r="V5" s="79" t="s">
        <v>22</v>
      </c>
      <c r="W5" s="79" t="s">
        <v>23</v>
      </c>
      <c r="X5" s="79" t="s">
        <v>24</v>
      </c>
      <c r="Y5" s="79" t="s">
        <v>25</v>
      </c>
      <c r="Z5" s="79" t="s">
        <v>26</v>
      </c>
      <c r="AA5" s="79" t="s">
        <v>27</v>
      </c>
      <c r="AB5" s="79" t="s">
        <v>28</v>
      </c>
      <c r="AC5" s="79" t="s">
        <v>29</v>
      </c>
      <c r="AD5" s="79" t="s">
        <v>30</v>
      </c>
      <c r="AE5" s="79" t="s">
        <v>31</v>
      </c>
      <c r="AF5" s="79" t="s">
        <v>32</v>
      </c>
      <c r="AG5" s="79" t="s">
        <v>33</v>
      </c>
      <c r="AH5" s="79" t="s">
        <v>34</v>
      </c>
      <c r="AI5" s="79" t="s">
        <v>35</v>
      </c>
      <c r="AJ5" s="79" t="s">
        <v>36</v>
      </c>
      <c r="AK5" s="79" t="s">
        <v>37</v>
      </c>
      <c r="AL5" s="79" t="s">
        <v>38</v>
      </c>
      <c r="AM5" s="79" t="s">
        <v>39</v>
      </c>
      <c r="AN5" s="79" t="s">
        <v>40</v>
      </c>
      <c r="AO5" s="79" t="s">
        <v>41</v>
      </c>
      <c r="AP5" s="79" t="s">
        <v>42</v>
      </c>
      <c r="AQ5" s="79" t="s">
        <v>43</v>
      </c>
      <c r="AR5" s="79" t="s">
        <v>44</v>
      </c>
      <c r="AS5" s="79" t="s">
        <v>45</v>
      </c>
      <c r="AT5" s="79" t="s">
        <v>46</v>
      </c>
      <c r="AU5" s="79" t="s">
        <v>47</v>
      </c>
      <c r="AV5" s="79" t="s">
        <v>48</v>
      </c>
      <c r="AW5" s="79" t="s">
        <v>49</v>
      </c>
      <c r="AX5" s="79" t="s">
        <v>50</v>
      </c>
      <c r="AY5" s="79" t="s">
        <v>51</v>
      </c>
      <c r="AZ5" s="79" t="s">
        <v>52</v>
      </c>
      <c r="BA5" s="79" t="s">
        <v>53</v>
      </c>
      <c r="BB5" s="79" t="s">
        <v>54</v>
      </c>
      <c r="BC5" s="79" t="s">
        <v>55</v>
      </c>
      <c r="BD5" s="79" t="s">
        <v>56</v>
      </c>
      <c r="BE5" s="79" t="s">
        <v>66</v>
      </c>
      <c r="BF5" s="79" t="s">
        <v>67</v>
      </c>
      <c r="BG5" s="79" t="s">
        <v>68</v>
      </c>
      <c r="BH5" s="79" t="s">
        <v>69</v>
      </c>
      <c r="BI5" s="79" t="s">
        <v>70</v>
      </c>
      <c r="BJ5" s="79" t="s">
        <v>71</v>
      </c>
      <c r="BK5" s="79" t="s">
        <v>72</v>
      </c>
      <c r="BL5" s="79" t="s">
        <v>73</v>
      </c>
      <c r="BM5" s="79" t="s">
        <v>74</v>
      </c>
      <c r="BN5" s="79" t="s">
        <v>75</v>
      </c>
      <c r="BO5" s="79" t="s">
        <v>76</v>
      </c>
      <c r="BP5" s="79" t="s">
        <v>77</v>
      </c>
      <c r="BQ5" s="79" t="s">
        <v>78</v>
      </c>
      <c r="BR5" s="79" t="s">
        <v>79</v>
      </c>
      <c r="BS5" s="79" t="s">
        <v>80</v>
      </c>
      <c r="BT5" s="79" t="s">
        <v>81</v>
      </c>
      <c r="BU5" s="79" t="s">
        <v>82</v>
      </c>
      <c r="BV5" s="79" t="s">
        <v>83</v>
      </c>
      <c r="BW5" s="79" t="s">
        <v>84</v>
      </c>
      <c r="BX5" s="79" t="s">
        <v>85</v>
      </c>
      <c r="BY5" s="79" t="s">
        <v>86</v>
      </c>
      <c r="BZ5" s="79" t="s">
        <v>87</v>
      </c>
      <c r="CA5" s="79" t="s">
        <v>88</v>
      </c>
      <c r="CB5" s="79" t="s">
        <v>89</v>
      </c>
      <c r="CC5" s="79" t="s">
        <v>90</v>
      </c>
      <c r="CD5" s="79" t="s">
        <v>91</v>
      </c>
      <c r="CE5" s="79" t="s">
        <v>92</v>
      </c>
      <c r="CF5" s="79" t="s">
        <v>93</v>
      </c>
      <c r="CG5" s="79" t="s">
        <v>94</v>
      </c>
      <c r="CH5" s="79" t="s">
        <v>95</v>
      </c>
      <c r="CI5" s="79" t="s">
        <v>96</v>
      </c>
      <c r="CJ5" s="79" t="s">
        <v>97</v>
      </c>
      <c r="CK5" s="79" t="s">
        <v>98</v>
      </c>
      <c r="CL5" s="79" t="s">
        <v>99</v>
      </c>
      <c r="CM5" s="79" t="s">
        <v>100</v>
      </c>
      <c r="CN5" s="79" t="s">
        <v>101</v>
      </c>
      <c r="CO5" s="79" t="s">
        <v>102</v>
      </c>
      <c r="CP5" s="79" t="s">
        <v>103</v>
      </c>
      <c r="CQ5" s="79" t="s">
        <v>104</v>
      </c>
      <c r="CR5" s="79" t="s">
        <v>105</v>
      </c>
      <c r="CS5" s="79" t="s">
        <v>106</v>
      </c>
      <c r="CT5" s="79" t="s">
        <v>107</v>
      </c>
      <c r="CU5" s="79" t="s">
        <v>108</v>
      </c>
      <c r="CV5" s="79" t="s">
        <v>109</v>
      </c>
      <c r="CW5" s="79" t="s">
        <v>110</v>
      </c>
      <c r="CX5" s="79" t="s">
        <v>111</v>
      </c>
      <c r="CY5" s="79" t="s">
        <v>112</v>
      </c>
      <c r="CZ5" s="79" t="s">
        <v>113</v>
      </c>
      <c r="DA5" s="79" t="s">
        <v>114</v>
      </c>
      <c r="DB5" s="79" t="s">
        <v>115</v>
      </c>
      <c r="DC5" s="79" t="s">
        <v>116</v>
      </c>
      <c r="DD5" s="80" t="s">
        <v>117</v>
      </c>
      <c r="DE5" s="60" t="s">
        <v>61</v>
      </c>
      <c r="DF5" s="56" t="s">
        <v>60</v>
      </c>
      <c r="DG5" s="38" t="s">
        <v>64</v>
      </c>
      <c r="DH5" s="38" t="s">
        <v>63</v>
      </c>
    </row>
    <row r="6" spans="1:136" ht="28.8" x14ac:dyDescent="0.3">
      <c r="A6" s="51" t="s">
        <v>176</v>
      </c>
      <c r="B6" s="2" t="s">
        <v>177</v>
      </c>
      <c r="C6" s="3" t="s">
        <v>126</v>
      </c>
      <c r="D6" s="49">
        <v>0</v>
      </c>
      <c r="E6" s="81"/>
      <c r="F6" s="81"/>
      <c r="G6" s="93">
        <v>1</v>
      </c>
      <c r="H6" s="81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2"/>
      <c r="BV6" s="82"/>
      <c r="BW6" s="82"/>
      <c r="BX6" s="82"/>
      <c r="BY6" s="82"/>
      <c r="BZ6" s="82"/>
      <c r="CA6" s="82"/>
      <c r="CB6" s="82"/>
      <c r="CC6" s="82"/>
      <c r="CD6" s="82"/>
      <c r="CE6" s="82"/>
      <c r="CF6" s="82"/>
      <c r="CG6" s="82"/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3"/>
      <c r="DE6" s="47" cm="1">
        <f t="array" ref="DE6">IF(COUNTA(E6:DD6)=0,0,LOOKUP(2,1/(E6:DD6&lt;&gt;""),E$3:DD$3))</f>
        <v>46199</v>
      </c>
      <c r="DF6" s="42">
        <f ca="1">IF(Tableau13[[#This Row],[Etat]]=1,2,IF(Tableau13[[#This Row],[Date fin]]&lt;=$A$1,3,1))</f>
        <v>3</v>
      </c>
      <c r="DG6" s="96">
        <f>COUNTA(E6:DD6)</f>
        <v>1</v>
      </c>
      <c r="DH6" s="46" cm="1">
        <f t="array" ref="DH6">INDEX($E$2:$DD$2,MATCH(TRUE,E6:DD6&lt;&gt;"",0))</f>
        <v>46195</v>
      </c>
    </row>
    <row r="7" spans="1:136" ht="28.8" x14ac:dyDescent="0.3">
      <c r="A7" s="51" t="s">
        <v>176</v>
      </c>
      <c r="B7" s="2" t="s">
        <v>179</v>
      </c>
      <c r="C7" s="3" t="s">
        <v>126</v>
      </c>
      <c r="D7" s="49">
        <v>0</v>
      </c>
      <c r="E7" s="81"/>
      <c r="F7" s="81"/>
      <c r="G7" s="93">
        <v>1</v>
      </c>
      <c r="H7" s="81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2"/>
      <c r="CA7" s="82"/>
      <c r="CB7" s="82"/>
      <c r="CC7" s="82"/>
      <c r="CD7" s="82"/>
      <c r="CE7" s="82"/>
      <c r="CF7" s="82"/>
      <c r="CG7" s="82"/>
      <c r="CH7" s="82"/>
      <c r="CI7" s="82"/>
      <c r="CJ7" s="82"/>
      <c r="CK7" s="82"/>
      <c r="CL7" s="82"/>
      <c r="CM7" s="82"/>
      <c r="CN7" s="82"/>
      <c r="CO7" s="82"/>
      <c r="CP7" s="82"/>
      <c r="CQ7" s="82"/>
      <c r="CR7" s="82"/>
      <c r="CS7" s="82"/>
      <c r="CT7" s="82"/>
      <c r="CU7" s="82"/>
      <c r="CV7" s="82"/>
      <c r="CW7" s="82"/>
      <c r="CX7" s="82"/>
      <c r="CY7" s="82"/>
      <c r="CZ7" s="82"/>
      <c r="DA7" s="82"/>
      <c r="DB7" s="82"/>
      <c r="DC7" s="82"/>
      <c r="DD7" s="83"/>
      <c r="DE7" s="47" cm="1">
        <f t="array" ref="DE7">IF(COUNTA(E7:DD7)=0,0,LOOKUP(2,1/(E7:DD7&lt;&gt;""),E$3:DD$3))</f>
        <v>46199</v>
      </c>
      <c r="DF7" s="42">
        <f ca="1">IF(Tableau13[[#This Row],[Etat]]=1,2,IF(Tableau13[[#This Row],[Date fin]]&lt;=$A$1,3,1))</f>
        <v>3</v>
      </c>
      <c r="DG7" s="48">
        <f>COUNTA(E7:DD7)</f>
        <v>1</v>
      </c>
      <c r="DH7" s="46" cm="1">
        <f t="array" ref="DH7">INDEX($E$2:$DD$2,MATCH(TRUE,E7:DD7&lt;&gt;"",0))</f>
        <v>46195</v>
      </c>
    </row>
    <row r="8" spans="1:136" ht="28.8" x14ac:dyDescent="0.3">
      <c r="A8" s="51" t="s">
        <v>176</v>
      </c>
      <c r="B8" s="2" t="s">
        <v>178</v>
      </c>
      <c r="C8" s="3" t="s">
        <v>126</v>
      </c>
      <c r="D8" s="49">
        <v>0</v>
      </c>
      <c r="E8" s="81"/>
      <c r="F8" s="81"/>
      <c r="G8" s="81"/>
      <c r="H8" s="76">
        <v>1</v>
      </c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2"/>
      <c r="BV8" s="82"/>
      <c r="BW8" s="82"/>
      <c r="BX8" s="82"/>
      <c r="BY8" s="82"/>
      <c r="BZ8" s="82"/>
      <c r="CA8" s="82"/>
      <c r="CB8" s="82"/>
      <c r="CC8" s="82"/>
      <c r="CD8" s="82"/>
      <c r="CE8" s="82"/>
      <c r="CF8" s="82"/>
      <c r="CG8" s="82"/>
      <c r="CH8" s="82"/>
      <c r="CI8" s="82"/>
      <c r="CJ8" s="82"/>
      <c r="CK8" s="82"/>
      <c r="CL8" s="82"/>
      <c r="CM8" s="82"/>
      <c r="CN8" s="82"/>
      <c r="CO8" s="82"/>
      <c r="CP8" s="82"/>
      <c r="CQ8" s="82"/>
      <c r="CR8" s="82"/>
      <c r="CS8" s="82"/>
      <c r="CT8" s="82"/>
      <c r="CU8" s="82"/>
      <c r="CV8" s="82"/>
      <c r="CW8" s="82"/>
      <c r="CX8" s="82"/>
      <c r="CY8" s="82"/>
      <c r="CZ8" s="82"/>
      <c r="DA8" s="82"/>
      <c r="DB8" s="82"/>
      <c r="DC8" s="82"/>
      <c r="DD8" s="83"/>
      <c r="DE8" s="47" cm="1">
        <f t="array" ref="DE8">IF(COUNTA(E8:DD8)=0,0,LOOKUP(2,1/(E8:DD8&lt;&gt;""),E$3:DD$3))</f>
        <v>46206</v>
      </c>
      <c r="DF8" s="50">
        <f ca="1">IF(Tableau13[[#This Row],[Etat]]=1,2,IF(Tableau13[[#This Row],[Date fin]]&lt;=$A$1,3,1))</f>
        <v>1</v>
      </c>
      <c r="DG8" s="48">
        <f>COUNTA(E8:DD8)</f>
        <v>1</v>
      </c>
      <c r="DH8" s="46" cm="1">
        <f t="array" ref="DH8">INDEX($E$2:$DD$2,MATCH(TRUE,E8:DD8&lt;&gt;"",0))</f>
        <v>46202</v>
      </c>
    </row>
    <row r="9" spans="1:136" x14ac:dyDescent="0.3">
      <c r="A9" s="51" t="s">
        <v>176</v>
      </c>
      <c r="B9" s="2" t="s">
        <v>180</v>
      </c>
      <c r="C9" s="3" t="s">
        <v>126</v>
      </c>
      <c r="D9" s="49">
        <v>0</v>
      </c>
      <c r="E9" s="81"/>
      <c r="F9" s="81"/>
      <c r="G9" s="81"/>
      <c r="H9" s="76">
        <v>2</v>
      </c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2"/>
      <c r="CC9" s="82"/>
      <c r="CD9" s="82"/>
      <c r="CE9" s="82"/>
      <c r="CF9" s="82"/>
      <c r="CG9" s="82"/>
      <c r="CH9" s="82"/>
      <c r="CI9" s="82"/>
      <c r="CJ9" s="82"/>
      <c r="CK9" s="82"/>
      <c r="CL9" s="82"/>
      <c r="CM9" s="82"/>
      <c r="CN9" s="82"/>
      <c r="CO9" s="82"/>
      <c r="CP9" s="82"/>
      <c r="CQ9" s="82"/>
      <c r="CR9" s="82"/>
      <c r="CS9" s="82"/>
      <c r="CT9" s="82"/>
      <c r="CU9" s="82"/>
      <c r="CV9" s="82"/>
      <c r="CW9" s="82"/>
      <c r="CX9" s="82"/>
      <c r="CY9" s="82"/>
      <c r="CZ9" s="82"/>
      <c r="DA9" s="82"/>
      <c r="DB9" s="82"/>
      <c r="DC9" s="82"/>
      <c r="DD9" s="83"/>
      <c r="DE9" s="47" cm="1">
        <f t="array" ref="DE9">IF(COUNTA(E9:DD9)=0,0,LOOKUP(2,1/(E9:DD9&lt;&gt;""),E$3:DD$3))</f>
        <v>46206</v>
      </c>
      <c r="DF9" s="50">
        <f ca="1">IF(Tableau13[[#This Row],[Etat]]=1,2,IF(Tableau13[[#This Row],[Date fin]]&lt;=$A$1,3,1))</f>
        <v>1</v>
      </c>
      <c r="DG9" s="48">
        <f>COUNTA(E9:DD9)</f>
        <v>1</v>
      </c>
      <c r="DH9" s="46" cm="1">
        <f t="array" ref="DH9">INDEX($E$2:$DD$2,MATCH(TRUE,E9:DD9&lt;&gt;"",0))</f>
        <v>46202</v>
      </c>
    </row>
    <row r="10" spans="1:136" x14ac:dyDescent="0.3">
      <c r="A10" s="51" t="s">
        <v>176</v>
      </c>
      <c r="B10" s="2" t="s">
        <v>181</v>
      </c>
      <c r="C10" s="3" t="s">
        <v>126</v>
      </c>
      <c r="D10" s="49">
        <v>0</v>
      </c>
      <c r="E10" s="84"/>
      <c r="F10" s="84"/>
      <c r="G10" s="84"/>
      <c r="H10" s="84"/>
      <c r="I10" s="58">
        <v>2</v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6"/>
      <c r="DE10" s="47" cm="1">
        <f t="array" ref="DE10">IF(COUNTA(E10:DD10)=0,0,LOOKUP(2,1/(E10:DD10&lt;&gt;""),E$3:DD$3))</f>
        <v>46213</v>
      </c>
      <c r="DF10" s="50">
        <f ca="1">IF(Tableau13[[#This Row],[Etat]]=1,2,IF(Tableau13[[#This Row],[Date fin]]&lt;=$A$1,3,1))</f>
        <v>1</v>
      </c>
      <c r="DG10" s="96">
        <f>COUNTA(E10:DD10)</f>
        <v>1</v>
      </c>
      <c r="DH10" s="46" cm="1">
        <f t="array" ref="DH10">INDEX($E$2:$DD$2,MATCH(TRUE,E10:DD10&lt;&gt;"",0))</f>
        <v>46209</v>
      </c>
    </row>
    <row r="11" spans="1:136" x14ac:dyDescent="0.3">
      <c r="A11" s="51" t="s">
        <v>176</v>
      </c>
      <c r="B11" s="2" t="s">
        <v>182</v>
      </c>
      <c r="C11" s="3" t="s">
        <v>126</v>
      </c>
      <c r="D11" s="49">
        <v>0</v>
      </c>
      <c r="E11" s="84"/>
      <c r="F11" s="84"/>
      <c r="G11" s="84"/>
      <c r="H11" s="84"/>
      <c r="I11" s="58">
        <v>1</v>
      </c>
      <c r="J11" s="58">
        <v>1</v>
      </c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6"/>
      <c r="DE11" s="47" cm="1">
        <f t="array" ref="DE11">IF(COUNTA(E11:DD11)=0,0,LOOKUP(2,1/(E11:DD11&lt;&gt;""),E$3:DD$3))</f>
        <v>46220</v>
      </c>
      <c r="DF11" s="50">
        <f ca="1">IF(Tableau13[[#This Row],[Etat]]=1,2,IF(Tableau13[[#This Row],[Date fin]]&lt;=$A$1,3,1))</f>
        <v>1</v>
      </c>
      <c r="DG11" s="96">
        <f>COUNTA(E11:DD11)</f>
        <v>2</v>
      </c>
      <c r="DH11" s="46" cm="1">
        <f t="array" ref="DH11">INDEX($E$2:$DD$2,MATCH(TRUE,E11:DD11&lt;&gt;"",0))</f>
        <v>46209</v>
      </c>
    </row>
    <row r="12" spans="1:136" x14ac:dyDescent="0.3">
      <c r="A12" s="51" t="s">
        <v>176</v>
      </c>
      <c r="B12" s="2" t="s">
        <v>183</v>
      </c>
      <c r="C12" s="3" t="s">
        <v>126</v>
      </c>
      <c r="D12" s="65">
        <v>0</v>
      </c>
      <c r="E12" s="84"/>
      <c r="F12" s="84"/>
      <c r="G12" s="84"/>
      <c r="H12" s="84"/>
      <c r="I12" s="85"/>
      <c r="J12" s="85"/>
      <c r="K12" s="85"/>
      <c r="L12" s="85"/>
      <c r="M12" s="85"/>
      <c r="N12" s="85"/>
      <c r="O12" s="85"/>
      <c r="P12" s="85"/>
      <c r="Q12" s="58">
        <v>5</v>
      </c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6"/>
      <c r="DE12" s="47" cm="1">
        <f t="array" ref="DE12">IF(COUNTA(E12:DD12)=0,0,LOOKUP(2,1/(E12:DD12&lt;&gt;""),E$3:DD$3))</f>
        <v>46269</v>
      </c>
      <c r="DF12" s="53">
        <f ca="1">IF(Tableau13[[#This Row],[Etat]]=1,2,IF(Tableau13[[#This Row],[Date fin]]&lt;=$A$1,3,1))</f>
        <v>1</v>
      </c>
      <c r="DG12" s="48">
        <f>COUNTA(E12:DD12)</f>
        <v>1</v>
      </c>
      <c r="DH12" s="46" cm="1">
        <f t="array" ref="DH12">INDEX($E$2:$DD$2,MATCH(TRUE,E12:DD12&lt;&gt;"",0))</f>
        <v>46265</v>
      </c>
    </row>
    <row r="13" spans="1:136" x14ac:dyDescent="0.3">
      <c r="A13" s="51" t="s">
        <v>119</v>
      </c>
      <c r="B13" s="2" t="s">
        <v>124</v>
      </c>
      <c r="C13" s="3" t="s">
        <v>1</v>
      </c>
      <c r="D13" s="65">
        <v>0</v>
      </c>
      <c r="E13" s="87"/>
      <c r="F13" s="58">
        <v>3</v>
      </c>
      <c r="G13" s="58">
        <v>3</v>
      </c>
      <c r="H13" s="58">
        <v>3</v>
      </c>
      <c r="I13" s="58">
        <v>3</v>
      </c>
      <c r="J13" s="58">
        <v>3</v>
      </c>
      <c r="K13" s="58">
        <v>3</v>
      </c>
      <c r="L13" s="58">
        <v>3</v>
      </c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6"/>
      <c r="DE13" s="47" cm="1">
        <f t="array" ref="DE13">IF(COUNTA(E13:DD13)=0,0,LOOKUP(2,1/(E13:DD13&lt;&gt;""),E$3:DD$3))</f>
        <v>46234</v>
      </c>
      <c r="DF13" s="53">
        <f ca="1">IF(Tableau13[[#This Row],[Etat]]=1,2,IF(Tableau13[[#This Row],[Date fin]]&lt;=$A$1,3,1))</f>
        <v>1</v>
      </c>
      <c r="DG13" s="48">
        <f>COUNTA(E13:DD13)</f>
        <v>7</v>
      </c>
      <c r="DH13" s="46" cm="1">
        <f t="array" ref="DH13">INDEX($E$2:$DD$2,MATCH(TRUE,E13:DD13&lt;&gt;"",0))</f>
        <v>46188</v>
      </c>
    </row>
    <row r="14" spans="1:136" x14ac:dyDescent="0.3">
      <c r="A14" s="51" t="s">
        <v>119</v>
      </c>
      <c r="B14" s="2" t="s">
        <v>123</v>
      </c>
      <c r="C14" s="3" t="s">
        <v>118</v>
      </c>
      <c r="D14" s="65">
        <v>0</v>
      </c>
      <c r="E14" s="87"/>
      <c r="F14" s="58">
        <v>3</v>
      </c>
      <c r="G14" s="58">
        <v>3</v>
      </c>
      <c r="H14" s="58">
        <v>3</v>
      </c>
      <c r="I14" s="58">
        <v>3</v>
      </c>
      <c r="J14" s="58">
        <v>3</v>
      </c>
      <c r="K14" s="58">
        <v>3</v>
      </c>
      <c r="L14" s="58">
        <v>3</v>
      </c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6"/>
      <c r="DE14" s="47" cm="1">
        <f t="array" ref="DE14">IF(COUNTA(E14:DD14)=0,0,LOOKUP(2,1/(E14:DD14&lt;&gt;""),E$3:DD$3))</f>
        <v>46234</v>
      </c>
      <c r="DF14" s="53">
        <f ca="1">IF(Tableau13[[#This Row],[Etat]]=1,2,IF(Tableau13[[#This Row],[Date fin]]&lt;=$A$1,3,1))</f>
        <v>1</v>
      </c>
      <c r="DG14" s="48">
        <f>COUNTA(E14:DD14)</f>
        <v>7</v>
      </c>
      <c r="DH14" s="46" cm="1">
        <f t="array" ref="DH14">INDEX($E$2:$DD$2,MATCH(TRUE,E14:DD14&lt;&gt;"",0))</f>
        <v>46188</v>
      </c>
    </row>
    <row r="15" spans="1:136" x14ac:dyDescent="0.3">
      <c r="A15" s="51" t="s">
        <v>119</v>
      </c>
      <c r="B15" s="2" t="s">
        <v>120</v>
      </c>
      <c r="C15" s="3" t="s">
        <v>152</v>
      </c>
      <c r="D15" s="65">
        <v>0</v>
      </c>
      <c r="E15" s="87"/>
      <c r="F15" s="58">
        <v>1</v>
      </c>
      <c r="G15" s="58">
        <v>1</v>
      </c>
      <c r="H15" s="58">
        <v>1</v>
      </c>
      <c r="I15" s="58">
        <v>1</v>
      </c>
      <c r="J15" s="58">
        <v>1</v>
      </c>
      <c r="K15" s="58">
        <v>1</v>
      </c>
      <c r="L15" s="58">
        <v>1</v>
      </c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6"/>
      <c r="DE15" s="47" cm="1">
        <f t="array" ref="DE15">IF(COUNTA(E15:DD15)=0,0,LOOKUP(2,1/(E15:DD15&lt;&gt;""),E$3:DD$3))</f>
        <v>46234</v>
      </c>
      <c r="DF15" s="53">
        <f ca="1">IF(Tableau13[[#This Row],[Etat]]=1,2,IF(Tableau13[[#This Row],[Date fin]]&lt;=$A$1,3,1))</f>
        <v>1</v>
      </c>
      <c r="DG15" s="48">
        <f>COUNTA(E15:DD15)</f>
        <v>7</v>
      </c>
      <c r="DH15" s="46" cm="1">
        <f t="array" ref="DH15">INDEX($E$2:$DD$2,MATCH(TRUE,E15:DD15&lt;&gt;"",0))</f>
        <v>46188</v>
      </c>
    </row>
    <row r="16" spans="1:136" x14ac:dyDescent="0.3">
      <c r="A16" s="51" t="s">
        <v>119</v>
      </c>
      <c r="B16" s="2" t="s">
        <v>122</v>
      </c>
      <c r="C16" s="3" t="s">
        <v>126</v>
      </c>
      <c r="D16" s="49">
        <v>0</v>
      </c>
      <c r="E16" s="87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58">
        <v>3</v>
      </c>
      <c r="R16" s="58">
        <v>3</v>
      </c>
      <c r="S16" s="58">
        <v>3</v>
      </c>
      <c r="T16" s="58">
        <v>3</v>
      </c>
      <c r="U16" s="58">
        <v>3</v>
      </c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6"/>
      <c r="DE16" s="47" cm="1">
        <f t="array" ref="DE16">IF(COUNTA(E16:DD16)=0,0,LOOKUP(2,1/(E16:DD16&lt;&gt;""),E$3:DD$3))</f>
        <v>46297</v>
      </c>
      <c r="DF16" s="53">
        <f ca="1">IF(Tableau13[[#This Row],[Etat]]=1,2,IF(Tableau13[[#This Row],[Date fin]]&lt;=$A$1,3,1))</f>
        <v>1</v>
      </c>
      <c r="DG16" s="48">
        <f>COUNTA(E16:DD16)</f>
        <v>5</v>
      </c>
      <c r="DH16" s="46" cm="1">
        <f t="array" ref="DH16">INDEX($E$2:$DD$2,MATCH(TRUE,E16:DD16&lt;&gt;"",0))</f>
        <v>46265</v>
      </c>
    </row>
    <row r="17" spans="1:112" x14ac:dyDescent="0.3">
      <c r="A17" s="51" t="s">
        <v>119</v>
      </c>
      <c r="B17" s="2" t="s">
        <v>125</v>
      </c>
      <c r="C17" s="3" t="s">
        <v>1</v>
      </c>
      <c r="D17" s="49">
        <v>0</v>
      </c>
      <c r="E17" s="87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58">
        <v>3</v>
      </c>
      <c r="W17" s="58">
        <v>3</v>
      </c>
      <c r="X17" s="58">
        <v>3</v>
      </c>
      <c r="Y17" s="58">
        <v>3</v>
      </c>
      <c r="Z17" s="58">
        <v>3</v>
      </c>
      <c r="AA17" s="58">
        <v>3</v>
      </c>
      <c r="AB17" s="58">
        <v>3</v>
      </c>
      <c r="AC17" s="58">
        <v>3</v>
      </c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6"/>
      <c r="DE17" s="47" cm="1">
        <f t="array" ref="DE17">IF(COUNTA(E17:DD17)=0,0,LOOKUP(2,1/(E17:DD17&lt;&gt;""),E$3:DD$3))</f>
        <v>46353</v>
      </c>
      <c r="DF17" s="50">
        <f ca="1">IF(Tableau13[[#This Row],[Etat]]=1,2,IF(Tableau13[[#This Row],[Date fin]]&lt;=$A$1,3,1))</f>
        <v>1</v>
      </c>
      <c r="DG17" s="96">
        <f>COUNTA(E17:DD17)</f>
        <v>8</v>
      </c>
      <c r="DH17" s="46" cm="1">
        <f t="array" ref="DH17">INDEX($E$2:$DD$2,MATCH(TRUE,E17:DD17&lt;&gt;"",0))</f>
        <v>46300</v>
      </c>
    </row>
    <row r="18" spans="1:112" x14ac:dyDescent="0.3">
      <c r="A18" s="51" t="s">
        <v>119</v>
      </c>
      <c r="B18" s="2" t="s">
        <v>121</v>
      </c>
      <c r="C18" s="3" t="s">
        <v>1</v>
      </c>
      <c r="D18" s="49">
        <v>0</v>
      </c>
      <c r="E18" s="88"/>
      <c r="F18" s="85"/>
      <c r="G18" s="85"/>
      <c r="H18" s="85"/>
      <c r="I18" s="85"/>
      <c r="J18" s="85"/>
      <c r="K18" s="85"/>
      <c r="L18" s="85"/>
      <c r="M18" s="85"/>
      <c r="N18" s="85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57">
        <v>3</v>
      </c>
      <c r="AE18" s="57">
        <v>3</v>
      </c>
      <c r="AF18" s="57">
        <v>3</v>
      </c>
      <c r="AG18" s="57">
        <v>3</v>
      </c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82"/>
      <c r="BN18" s="82"/>
      <c r="BO18" s="82"/>
      <c r="BP18" s="82"/>
      <c r="BQ18" s="82"/>
      <c r="BR18" s="82"/>
      <c r="BS18" s="82"/>
      <c r="BT18" s="82"/>
      <c r="BU18" s="82"/>
      <c r="BV18" s="82"/>
      <c r="BW18" s="82"/>
      <c r="BX18" s="82"/>
      <c r="BY18" s="82"/>
      <c r="BZ18" s="82"/>
      <c r="CA18" s="82"/>
      <c r="CB18" s="82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82"/>
      <c r="CO18" s="82"/>
      <c r="CP18" s="82"/>
      <c r="CQ18" s="82"/>
      <c r="CR18" s="82"/>
      <c r="CS18" s="82"/>
      <c r="CT18" s="82"/>
      <c r="CU18" s="82"/>
      <c r="CV18" s="82"/>
      <c r="CW18" s="82"/>
      <c r="CX18" s="82"/>
      <c r="CY18" s="82"/>
      <c r="CZ18" s="82"/>
      <c r="DA18" s="82"/>
      <c r="DB18" s="82"/>
      <c r="DC18" s="82"/>
      <c r="DD18" s="83"/>
      <c r="DE18" s="47" cm="1">
        <f t="array" ref="DE18">IF(COUNTA(E18:DD18)=0,0,LOOKUP(2,1/(E18:DD18&lt;&gt;""),E$3:DD$3))</f>
        <v>46381</v>
      </c>
      <c r="DF18" s="50">
        <f ca="1">IF(Tableau13[[#This Row],[Etat]]=1,2,IF(Tableau13[[#This Row],[Date fin]]&lt;=$A$1,3,1))</f>
        <v>1</v>
      </c>
      <c r="DG18" s="96">
        <f>COUNTA(E18:DD18)</f>
        <v>4</v>
      </c>
      <c r="DH18" s="46" cm="1">
        <f t="array" ref="DH18">INDEX($E$2:$DD$2,MATCH(TRUE,E18:DD18&lt;&gt;"",0))</f>
        <v>46356</v>
      </c>
    </row>
    <row r="19" spans="1:112" ht="28.8" x14ac:dyDescent="0.3">
      <c r="A19" s="68" t="s">
        <v>154</v>
      </c>
      <c r="B19" s="2" t="s">
        <v>128</v>
      </c>
      <c r="C19" s="3" t="s">
        <v>129</v>
      </c>
      <c r="D19" s="49">
        <v>0</v>
      </c>
      <c r="E19" s="84"/>
      <c r="F19" s="84"/>
      <c r="G19" s="84"/>
      <c r="H19" s="84"/>
      <c r="I19" s="59">
        <v>2</v>
      </c>
      <c r="J19" s="84"/>
      <c r="K19" s="84"/>
      <c r="L19" s="84"/>
      <c r="M19" s="84"/>
      <c r="N19" s="84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95"/>
      <c r="BO19" s="95"/>
      <c r="BP19" s="95"/>
      <c r="BQ19" s="95"/>
      <c r="BR19" s="95"/>
      <c r="BS19" s="95"/>
      <c r="BT19" s="95"/>
      <c r="BU19" s="95"/>
      <c r="BV19" s="95"/>
      <c r="BW19" s="95"/>
      <c r="BX19" s="95"/>
      <c r="BY19" s="95"/>
      <c r="BZ19" s="95"/>
      <c r="CA19" s="95"/>
      <c r="CB19" s="95"/>
      <c r="CC19" s="95"/>
      <c r="CD19" s="95"/>
      <c r="CE19" s="95"/>
      <c r="CF19" s="95"/>
      <c r="CG19" s="95"/>
      <c r="CH19" s="95"/>
      <c r="CI19" s="95"/>
      <c r="CJ19" s="95"/>
      <c r="CK19" s="95"/>
      <c r="CL19" s="95"/>
      <c r="CM19" s="95"/>
      <c r="CN19" s="95"/>
      <c r="CO19" s="95"/>
      <c r="CP19" s="95"/>
      <c r="CQ19" s="95"/>
      <c r="CR19" s="95"/>
      <c r="CS19" s="95"/>
      <c r="CT19" s="85"/>
      <c r="CU19" s="85"/>
      <c r="CV19" s="85"/>
      <c r="CW19" s="85"/>
      <c r="CX19" s="85"/>
      <c r="CY19" s="85"/>
      <c r="CZ19" s="85"/>
      <c r="DA19" s="85"/>
      <c r="DB19" s="85"/>
      <c r="DC19" s="85"/>
      <c r="DD19" s="86"/>
      <c r="DE19" s="47" cm="1">
        <f t="array" ref="DE19">IF(COUNTA(E19:DD19)=0,0,LOOKUP(2,1/(E19:DD19&lt;&gt;""),E$3:DD$3))</f>
        <v>46213</v>
      </c>
      <c r="DF19" s="50">
        <f ca="1">IF(Tableau13[[#This Row],[Etat]]=1,2,IF(Tableau13[[#This Row],[Date fin]]&lt;=$A$1,3,1))</f>
        <v>1</v>
      </c>
      <c r="DG19" s="96">
        <f>COUNTA(E19:DD19)</f>
        <v>1</v>
      </c>
      <c r="DH19" s="46" cm="1">
        <f t="array" ref="DH19">INDEX($E$2:$DD$2,MATCH(TRUE,E19:DD19&lt;&gt;"",0))</f>
        <v>46209</v>
      </c>
    </row>
    <row r="20" spans="1:112" ht="28.8" x14ac:dyDescent="0.3">
      <c r="A20" s="68" t="s">
        <v>154</v>
      </c>
      <c r="B20" s="2" t="s">
        <v>130</v>
      </c>
      <c r="C20" s="3" t="s">
        <v>129</v>
      </c>
      <c r="D20" s="65">
        <v>0</v>
      </c>
      <c r="E20" s="84"/>
      <c r="F20" s="84"/>
      <c r="G20" s="84"/>
      <c r="H20" s="84"/>
      <c r="I20" s="84"/>
      <c r="J20" s="84"/>
      <c r="K20" s="59">
        <v>5</v>
      </c>
      <c r="L20" s="84"/>
      <c r="M20" s="84"/>
      <c r="N20" s="84"/>
      <c r="O20" s="81"/>
      <c r="P20" s="84"/>
      <c r="Q20" s="84"/>
      <c r="R20" s="84"/>
      <c r="S20" s="84"/>
      <c r="T20" s="84"/>
      <c r="U20" s="84"/>
      <c r="V20" s="84"/>
      <c r="W20" s="84"/>
      <c r="X20" s="84"/>
      <c r="Y20" s="81"/>
      <c r="Z20" s="81"/>
      <c r="AA20" s="81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95"/>
      <c r="BO20" s="95"/>
      <c r="BP20" s="95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85"/>
      <c r="CU20" s="85"/>
      <c r="CV20" s="85"/>
      <c r="CW20" s="85"/>
      <c r="CX20" s="85"/>
      <c r="CY20" s="85"/>
      <c r="CZ20" s="85"/>
      <c r="DA20" s="85"/>
      <c r="DB20" s="85"/>
      <c r="DC20" s="85"/>
      <c r="DD20" s="86"/>
      <c r="DE20" s="47" cm="1">
        <f t="array" ref="DE20">IF(COUNTA(E20:DD20)=0,0,LOOKUP(2,1/(E20:DD20&lt;&gt;""),E$3:DD$3))</f>
        <v>46227</v>
      </c>
      <c r="DF20" s="53">
        <f ca="1">IF(Tableau13[[#This Row],[Etat]]=1,2,IF(Tableau13[[#This Row],[Date fin]]&lt;=$A$1,3,1))</f>
        <v>1</v>
      </c>
      <c r="DG20" s="48">
        <f>COUNTA(E20:DD20)</f>
        <v>1</v>
      </c>
      <c r="DH20" s="46" cm="1">
        <f t="array" ref="DH20">INDEX($E$2:$DD$2,MATCH(TRUE,E20:DD20&lt;&gt;"",0))</f>
        <v>46223</v>
      </c>
    </row>
    <row r="21" spans="1:112" ht="28.8" x14ac:dyDescent="0.3">
      <c r="A21" s="68" t="s">
        <v>154</v>
      </c>
      <c r="B21" s="2" t="s">
        <v>131</v>
      </c>
      <c r="C21" s="3" t="s">
        <v>129</v>
      </c>
      <c r="D21" s="65">
        <v>0</v>
      </c>
      <c r="E21" s="84"/>
      <c r="F21" s="84"/>
      <c r="G21" s="84"/>
      <c r="H21" s="84"/>
      <c r="I21" s="84"/>
      <c r="J21" s="84"/>
      <c r="K21" s="84"/>
      <c r="L21" s="59">
        <v>2</v>
      </c>
      <c r="M21" s="84"/>
      <c r="N21" s="84"/>
      <c r="O21" s="81"/>
      <c r="P21" s="84"/>
      <c r="Q21" s="84"/>
      <c r="R21" s="84"/>
      <c r="S21" s="84"/>
      <c r="T21" s="84"/>
      <c r="U21" s="84"/>
      <c r="V21" s="84"/>
      <c r="W21" s="84"/>
      <c r="X21" s="84"/>
      <c r="Y21" s="81"/>
      <c r="Z21" s="81"/>
      <c r="AA21" s="81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95"/>
      <c r="BO21" s="95"/>
      <c r="BP21" s="95"/>
      <c r="BQ21" s="95"/>
      <c r="BR21" s="95"/>
      <c r="BS21" s="95"/>
      <c r="BT21" s="95"/>
      <c r="BU21" s="95"/>
      <c r="BV21" s="95"/>
      <c r="BW21" s="95"/>
      <c r="BX21" s="95"/>
      <c r="BY21" s="95"/>
      <c r="BZ21" s="95"/>
      <c r="CA21" s="95"/>
      <c r="CB21" s="95"/>
      <c r="CC21" s="95"/>
      <c r="CD21" s="95"/>
      <c r="CE21" s="95"/>
      <c r="CF21" s="95"/>
      <c r="CG21" s="95"/>
      <c r="CH21" s="95"/>
      <c r="CI21" s="95"/>
      <c r="CJ21" s="95"/>
      <c r="CK21" s="95"/>
      <c r="CL21" s="95"/>
      <c r="CM21" s="95"/>
      <c r="CN21" s="95"/>
      <c r="CO21" s="95"/>
      <c r="CP21" s="95"/>
      <c r="CQ21" s="95"/>
      <c r="CR21" s="95"/>
      <c r="CS21" s="95"/>
      <c r="CT21" s="85"/>
      <c r="CU21" s="85"/>
      <c r="CV21" s="85"/>
      <c r="CW21" s="85"/>
      <c r="CX21" s="85"/>
      <c r="CY21" s="85"/>
      <c r="CZ21" s="85"/>
      <c r="DA21" s="85"/>
      <c r="DB21" s="85"/>
      <c r="DC21" s="85"/>
      <c r="DD21" s="86"/>
      <c r="DE21" s="47" cm="1">
        <f t="array" ref="DE21">IF(COUNTA(E21:DD21)=0,0,LOOKUP(2,1/(E21:DD21&lt;&gt;""),E$3:DD$3))</f>
        <v>46234</v>
      </c>
      <c r="DF21" s="53">
        <f ca="1">IF(Tableau13[[#This Row],[Etat]]=1,2,IF(Tableau13[[#This Row],[Date fin]]&lt;=$A$1,3,1))</f>
        <v>1</v>
      </c>
      <c r="DG21" s="48">
        <f>COUNTA(E21:DD21)</f>
        <v>1</v>
      </c>
      <c r="DH21" s="46" cm="1">
        <f t="array" ref="DH21">INDEX($E$2:$DD$2,MATCH(TRUE,E21:DD21&lt;&gt;"",0))</f>
        <v>46230</v>
      </c>
    </row>
    <row r="22" spans="1:112" ht="28.8" x14ac:dyDescent="0.3">
      <c r="A22" s="68" t="s">
        <v>154</v>
      </c>
      <c r="B22" s="2" t="s">
        <v>132</v>
      </c>
      <c r="C22" s="3" t="s">
        <v>65</v>
      </c>
      <c r="D22" s="49">
        <v>0</v>
      </c>
      <c r="E22" s="88"/>
      <c r="F22" s="84"/>
      <c r="G22" s="84"/>
      <c r="H22" s="84"/>
      <c r="I22" s="84"/>
      <c r="J22" s="84"/>
      <c r="K22" s="84"/>
      <c r="L22" s="84"/>
      <c r="M22" s="59">
        <v>5</v>
      </c>
      <c r="N22" s="84"/>
      <c r="O22" s="81"/>
      <c r="P22" s="84"/>
      <c r="Q22" s="84"/>
      <c r="R22" s="84"/>
      <c r="S22" s="84"/>
      <c r="T22" s="84"/>
      <c r="U22" s="84"/>
      <c r="V22" s="84"/>
      <c r="W22" s="84"/>
      <c r="X22" s="84"/>
      <c r="Y22" s="81"/>
      <c r="Z22" s="81"/>
      <c r="AA22" s="81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82"/>
      <c r="BN22" s="82"/>
      <c r="BO22" s="82"/>
      <c r="BP22" s="82"/>
      <c r="BQ22" s="82"/>
      <c r="BR22" s="82"/>
      <c r="BS22" s="82"/>
      <c r="BT22" s="82"/>
      <c r="BU22" s="82"/>
      <c r="BV22" s="82"/>
      <c r="BW22" s="82"/>
      <c r="BX22" s="82"/>
      <c r="BY22" s="82"/>
      <c r="BZ22" s="82"/>
      <c r="CA22" s="82"/>
      <c r="CB22" s="82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82"/>
      <c r="CP22" s="82"/>
      <c r="CQ22" s="82"/>
      <c r="CR22" s="82"/>
      <c r="CS22" s="82"/>
      <c r="CT22" s="82"/>
      <c r="CU22" s="82"/>
      <c r="CV22" s="82"/>
      <c r="CW22" s="82"/>
      <c r="CX22" s="82"/>
      <c r="CY22" s="82"/>
      <c r="CZ22" s="82"/>
      <c r="DA22" s="82"/>
      <c r="DB22" s="82"/>
      <c r="DC22" s="82"/>
      <c r="DD22" s="83"/>
      <c r="DE22" s="47" cm="1">
        <f t="array" ref="DE22">IF(COUNTA(E22:DD22)=0,0,LOOKUP(2,1/(E22:DD22&lt;&gt;""),E$3:DD$3))</f>
        <v>46241</v>
      </c>
      <c r="DF22" s="50">
        <f ca="1">IF(Tableau13[[#This Row],[Etat]]=1,2,IF(Tableau13[[#This Row],[Date fin]]&lt;=$A$1,3,1))</f>
        <v>1</v>
      </c>
      <c r="DG22" s="96">
        <f>COUNTA(E22:DD22)</f>
        <v>1</v>
      </c>
      <c r="DH22" s="46" cm="1">
        <f t="array" ref="DH22">INDEX($E$2:$DD$2,MATCH(TRUE,E22:DD22&lt;&gt;"",0))</f>
        <v>46237</v>
      </c>
    </row>
    <row r="23" spans="1:112" ht="28.8" x14ac:dyDescent="0.3">
      <c r="A23" s="69" t="s">
        <v>155</v>
      </c>
      <c r="B23" s="2" t="s">
        <v>164</v>
      </c>
      <c r="C23" s="3" t="s">
        <v>65</v>
      </c>
      <c r="D23" s="49">
        <v>1</v>
      </c>
      <c r="E23" s="81"/>
      <c r="F23" s="84"/>
      <c r="G23" s="67">
        <v>0.2</v>
      </c>
      <c r="H23" s="84"/>
      <c r="I23" s="85"/>
      <c r="J23" s="85"/>
      <c r="K23" s="85"/>
      <c r="L23" s="85"/>
      <c r="M23" s="85"/>
      <c r="N23" s="85"/>
      <c r="O23" s="82"/>
      <c r="P23" s="85"/>
      <c r="Q23" s="85"/>
      <c r="R23" s="85"/>
      <c r="S23" s="85"/>
      <c r="T23" s="85"/>
      <c r="U23" s="85"/>
      <c r="V23" s="85"/>
      <c r="W23" s="85"/>
      <c r="X23" s="85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82"/>
      <c r="BN23" s="82"/>
      <c r="BO23" s="82"/>
      <c r="BP23" s="82"/>
      <c r="BQ23" s="82"/>
      <c r="BR23" s="82"/>
      <c r="BS23" s="82"/>
      <c r="BT23" s="82"/>
      <c r="BU23" s="82"/>
      <c r="BV23" s="82"/>
      <c r="BW23" s="82"/>
      <c r="BX23" s="82"/>
      <c r="BY23" s="82"/>
      <c r="BZ23" s="82"/>
      <c r="CA23" s="82"/>
      <c r="CB23" s="82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82"/>
      <c r="CP23" s="82"/>
      <c r="CQ23" s="82"/>
      <c r="CR23" s="82"/>
      <c r="CS23" s="82"/>
      <c r="CT23" s="82"/>
      <c r="CU23" s="82"/>
      <c r="CV23" s="82"/>
      <c r="CW23" s="82"/>
      <c r="CX23" s="82"/>
      <c r="CY23" s="82"/>
      <c r="CZ23" s="82"/>
      <c r="DA23" s="82"/>
      <c r="DB23" s="82"/>
      <c r="DC23" s="82"/>
      <c r="DD23" s="83"/>
      <c r="DE23" s="47" cm="1">
        <f t="array" ref="DE23">IF(COUNTA(E23:DD23)=0,0,LOOKUP(2,1/(E23:DD23&lt;&gt;""),E$3:DD$3))</f>
        <v>46199</v>
      </c>
      <c r="DF23" s="77">
        <f>IF(Tableau13[[#This Row],[Etat]]=1,2,IF(Tableau13[[#This Row],[Date fin]]&lt;=$A$1,3,1))</f>
        <v>2</v>
      </c>
      <c r="DG23" s="48">
        <f>COUNTA(E23:DD23)</f>
        <v>1</v>
      </c>
      <c r="DH23" s="46" cm="1">
        <f t="array" ref="DH23">INDEX($E$2:$DD$2,MATCH(TRUE,E23:DD23&lt;&gt;"",0))</f>
        <v>46195</v>
      </c>
    </row>
    <row r="24" spans="1:112" ht="28.8" x14ac:dyDescent="0.3">
      <c r="A24" s="69" t="s">
        <v>155</v>
      </c>
      <c r="B24" s="2" t="s">
        <v>163</v>
      </c>
      <c r="C24" s="3" t="s">
        <v>162</v>
      </c>
      <c r="D24" s="49">
        <v>0</v>
      </c>
      <c r="E24" s="81"/>
      <c r="F24" s="84"/>
      <c r="G24" s="84"/>
      <c r="H24" s="59">
        <v>6</v>
      </c>
      <c r="I24" s="85"/>
      <c r="J24" s="85"/>
      <c r="K24" s="85"/>
      <c r="L24" s="85"/>
      <c r="M24" s="85"/>
      <c r="N24" s="85"/>
      <c r="O24" s="82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82"/>
      <c r="BN24" s="82"/>
      <c r="BO24" s="82"/>
      <c r="BP24" s="82"/>
      <c r="BQ24" s="82"/>
      <c r="BR24" s="82"/>
      <c r="BS24" s="82"/>
      <c r="BT24" s="82"/>
      <c r="BU24" s="82"/>
      <c r="BV24" s="82"/>
      <c r="BW24" s="82"/>
      <c r="BX24" s="82"/>
      <c r="BY24" s="82"/>
      <c r="BZ24" s="82"/>
      <c r="CA24" s="82"/>
      <c r="CB24" s="82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82"/>
      <c r="CP24" s="82"/>
      <c r="CQ24" s="82"/>
      <c r="CR24" s="82"/>
      <c r="CS24" s="82"/>
      <c r="CT24" s="82"/>
      <c r="CU24" s="82"/>
      <c r="CV24" s="82"/>
      <c r="CW24" s="82"/>
      <c r="CX24" s="82"/>
      <c r="CY24" s="82"/>
      <c r="CZ24" s="82"/>
      <c r="DA24" s="82"/>
      <c r="DB24" s="82"/>
      <c r="DC24" s="82"/>
      <c r="DD24" s="83"/>
      <c r="DE24" s="47" cm="1">
        <f t="array" ref="DE24">IF(COUNTA(E24:DD24)=0,0,LOOKUP(2,1/(E24:DD24&lt;&gt;""),E$3:DD$3))</f>
        <v>46206</v>
      </c>
      <c r="DF24" s="50">
        <f ca="1">IF(Tableau13[[#This Row],[Etat]]=1,2,IF(Tableau13[[#This Row],[Date fin]]&lt;=$A$1,3,1))</f>
        <v>1</v>
      </c>
      <c r="DG24" s="48">
        <f>COUNTA(E24:DD24)</f>
        <v>1</v>
      </c>
      <c r="DH24" s="46" cm="1">
        <f t="array" ref="DH24">INDEX($E$2:$DD$2,MATCH(TRUE,E24:DD24&lt;&gt;"",0))</f>
        <v>46202</v>
      </c>
    </row>
    <row r="25" spans="1:112" ht="28.8" x14ac:dyDescent="0.3">
      <c r="A25" s="69" t="s">
        <v>155</v>
      </c>
      <c r="B25" s="2" t="s">
        <v>133</v>
      </c>
      <c r="C25" s="3" t="s">
        <v>65</v>
      </c>
      <c r="D25" s="49">
        <v>0</v>
      </c>
      <c r="E25" s="88"/>
      <c r="F25" s="84"/>
      <c r="G25" s="84"/>
      <c r="H25" s="84"/>
      <c r="I25" s="59">
        <v>2</v>
      </c>
      <c r="J25" s="84"/>
      <c r="K25" s="84"/>
      <c r="L25" s="84"/>
      <c r="M25" s="84"/>
      <c r="N25" s="84"/>
      <c r="O25" s="81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82"/>
      <c r="BN25" s="82"/>
      <c r="BO25" s="82"/>
      <c r="BP25" s="82"/>
      <c r="BQ25" s="82"/>
      <c r="BR25" s="82"/>
      <c r="BS25" s="82"/>
      <c r="BT25" s="82"/>
      <c r="BU25" s="82"/>
      <c r="BV25" s="82"/>
      <c r="BW25" s="82"/>
      <c r="BX25" s="82"/>
      <c r="BY25" s="82"/>
      <c r="BZ25" s="82"/>
      <c r="CA25" s="82"/>
      <c r="CB25" s="82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82"/>
      <c r="CO25" s="82"/>
      <c r="CP25" s="82"/>
      <c r="CQ25" s="82"/>
      <c r="CR25" s="82"/>
      <c r="CS25" s="82"/>
      <c r="CT25" s="82"/>
      <c r="CU25" s="82"/>
      <c r="CV25" s="82"/>
      <c r="CW25" s="82"/>
      <c r="CX25" s="82"/>
      <c r="CY25" s="82"/>
      <c r="CZ25" s="82"/>
      <c r="DA25" s="82"/>
      <c r="DB25" s="82"/>
      <c r="DC25" s="82"/>
      <c r="DD25" s="83"/>
      <c r="DE25" s="47" cm="1">
        <f t="array" ref="DE25">IF(COUNTA(E25:DD25)=0,0,LOOKUP(2,1/(E25:DD25&lt;&gt;""),E$3:DD$3))</f>
        <v>46213</v>
      </c>
      <c r="DF25" s="50">
        <f ca="1">IF(Tableau13[[#This Row],[Etat]]=1,2,IF(Tableau13[[#This Row],[Date fin]]&lt;=$A$1,3,1))</f>
        <v>1</v>
      </c>
      <c r="DG25" s="48">
        <f>COUNTA(E25:DD25)</f>
        <v>1</v>
      </c>
      <c r="DH25" s="46" cm="1">
        <f t="array" ref="DH25">INDEX($E$2:$DD$2,MATCH(TRUE,E25:DD25&lt;&gt;"",0))</f>
        <v>46209</v>
      </c>
    </row>
    <row r="26" spans="1:112" ht="28.8" x14ac:dyDescent="0.3">
      <c r="A26" s="69" t="s">
        <v>155</v>
      </c>
      <c r="B26" s="2" t="s">
        <v>134</v>
      </c>
      <c r="C26" s="3" t="s">
        <v>135</v>
      </c>
      <c r="D26" s="49">
        <v>0</v>
      </c>
      <c r="E26" s="81"/>
      <c r="F26" s="84"/>
      <c r="G26" s="84"/>
      <c r="H26" s="84"/>
      <c r="I26" s="84"/>
      <c r="J26" s="59">
        <v>0.2</v>
      </c>
      <c r="K26" s="84"/>
      <c r="L26" s="84"/>
      <c r="M26" s="84"/>
      <c r="N26" s="84"/>
      <c r="O26" s="81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2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82"/>
      <c r="CO26" s="82"/>
      <c r="CP26" s="82"/>
      <c r="CQ26" s="82"/>
      <c r="CR26" s="82"/>
      <c r="CS26" s="82"/>
      <c r="CT26" s="82"/>
      <c r="CU26" s="82"/>
      <c r="CV26" s="82"/>
      <c r="CW26" s="82"/>
      <c r="CX26" s="82"/>
      <c r="CY26" s="82"/>
      <c r="CZ26" s="82"/>
      <c r="DA26" s="82"/>
      <c r="DB26" s="82"/>
      <c r="DC26" s="82"/>
      <c r="DD26" s="83"/>
      <c r="DE26" s="47" cm="1">
        <f t="array" ref="DE26">IF(COUNTA(E26:DD26)=0,0,LOOKUP(2,1/(E26:DD26&lt;&gt;""),E$3:DD$3))</f>
        <v>46220</v>
      </c>
      <c r="DF26" s="50">
        <f ca="1">IF(Tableau13[[#This Row],[Etat]]=1,2,IF(Tableau13[[#This Row],[Date fin]]&lt;=$A$1,3,1))</f>
        <v>1</v>
      </c>
      <c r="DG26" s="48">
        <f>COUNTA(E26:DD26)</f>
        <v>1</v>
      </c>
      <c r="DH26" s="46" cm="1">
        <f t="array" ref="DH26">INDEX($E$2:$DD$2,MATCH(TRUE,E26:DD26&lt;&gt;"",0))</f>
        <v>46216</v>
      </c>
    </row>
    <row r="27" spans="1:112" ht="28.8" x14ac:dyDescent="0.3">
      <c r="A27" s="70" t="s">
        <v>156</v>
      </c>
      <c r="B27" s="2" t="s">
        <v>165</v>
      </c>
      <c r="C27" s="3" t="s">
        <v>65</v>
      </c>
      <c r="D27" s="49">
        <v>0</v>
      </c>
      <c r="E27" s="88"/>
      <c r="F27" s="84"/>
      <c r="G27" s="94">
        <v>0.25</v>
      </c>
      <c r="H27" s="84"/>
      <c r="I27" s="84"/>
      <c r="J27" s="84"/>
      <c r="K27" s="84"/>
      <c r="L27" s="84"/>
      <c r="M27" s="84"/>
      <c r="N27" s="84"/>
      <c r="O27" s="81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2"/>
      <c r="CC27" s="82"/>
      <c r="CD27" s="82"/>
      <c r="CE27" s="82"/>
      <c r="CF27" s="82"/>
      <c r="CG27" s="82"/>
      <c r="CH27" s="82"/>
      <c r="CI27" s="82"/>
      <c r="CJ27" s="82"/>
      <c r="CK27" s="82"/>
      <c r="CL27" s="82"/>
      <c r="CM27" s="82"/>
      <c r="CN27" s="82"/>
      <c r="CO27" s="82"/>
      <c r="CP27" s="82"/>
      <c r="CQ27" s="82"/>
      <c r="CR27" s="82"/>
      <c r="CS27" s="82"/>
      <c r="CT27" s="82"/>
      <c r="CU27" s="82"/>
      <c r="CV27" s="82"/>
      <c r="CW27" s="82"/>
      <c r="CX27" s="82"/>
      <c r="CY27" s="82"/>
      <c r="CZ27" s="82"/>
      <c r="DA27" s="82"/>
      <c r="DB27" s="82"/>
      <c r="DC27" s="82"/>
      <c r="DD27" s="83"/>
      <c r="DE27" s="47" cm="1">
        <f t="array" ref="DE27">IF(COUNTA(E27:DD27)=0,0,LOOKUP(2,1/(E27:DD27&lt;&gt;""),E$3:DD$3))</f>
        <v>46199</v>
      </c>
      <c r="DF27" s="42">
        <f ca="1">IF(Tableau13[[#This Row],[Etat]]=1,2,IF(Tableau13[[#This Row],[Date fin]]&lt;=$A$1,3,1))</f>
        <v>3</v>
      </c>
      <c r="DG27" s="48">
        <f>COUNTA(E27:DD27)</f>
        <v>1</v>
      </c>
      <c r="DH27" s="46" cm="1">
        <f t="array" ref="DH27">INDEX($E$2:$DD$2,MATCH(TRUE,E27:DD27&lt;&gt;"",0))</f>
        <v>46195</v>
      </c>
    </row>
    <row r="28" spans="1:112" ht="28.8" x14ac:dyDescent="0.3">
      <c r="A28" s="70" t="s">
        <v>156</v>
      </c>
      <c r="B28" s="2" t="s">
        <v>166</v>
      </c>
      <c r="C28" s="3" t="s">
        <v>65</v>
      </c>
      <c r="D28" s="49">
        <v>0</v>
      </c>
      <c r="E28" s="81"/>
      <c r="F28" s="84"/>
      <c r="G28" s="59">
        <v>1</v>
      </c>
      <c r="H28" s="59">
        <v>1</v>
      </c>
      <c r="I28" s="84"/>
      <c r="J28" s="84"/>
      <c r="K28" s="84"/>
      <c r="L28" s="84"/>
      <c r="M28" s="84"/>
      <c r="N28" s="84"/>
      <c r="O28" s="81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82"/>
      <c r="BU28" s="82"/>
      <c r="BV28" s="82"/>
      <c r="BW28" s="82"/>
      <c r="BX28" s="82"/>
      <c r="BY28" s="82"/>
      <c r="BZ28" s="82"/>
      <c r="CA28" s="82"/>
      <c r="CB28" s="82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82"/>
      <c r="CP28" s="82"/>
      <c r="CQ28" s="82"/>
      <c r="CR28" s="82"/>
      <c r="CS28" s="82"/>
      <c r="CT28" s="82"/>
      <c r="CU28" s="82"/>
      <c r="CV28" s="82"/>
      <c r="CW28" s="82"/>
      <c r="CX28" s="82"/>
      <c r="CY28" s="82"/>
      <c r="CZ28" s="82"/>
      <c r="DA28" s="82"/>
      <c r="DB28" s="82"/>
      <c r="DC28" s="82"/>
      <c r="DD28" s="83"/>
      <c r="DE28" s="47" cm="1">
        <f t="array" ref="DE28">IF(COUNTA(E28:DD28)=0,0,LOOKUP(2,1/(E28:DD28&lt;&gt;""),E$3:DD$3))</f>
        <v>46206</v>
      </c>
      <c r="DF28" s="50">
        <f ca="1">IF(Tableau13[[#This Row],[Etat]]=1,2,IF(Tableau13[[#This Row],[Date fin]]&lt;=$A$1,3,1))</f>
        <v>1</v>
      </c>
      <c r="DG28" s="48">
        <f>COUNTA(E28:DD28)</f>
        <v>2</v>
      </c>
      <c r="DH28" s="46" cm="1">
        <f t="array" ref="DH28">INDEX($E$2:$DD$2,MATCH(TRUE,E28:DD28&lt;&gt;"",0))</f>
        <v>46195</v>
      </c>
    </row>
    <row r="29" spans="1:112" ht="28.8" x14ac:dyDescent="0.3">
      <c r="A29" s="70" t="s">
        <v>156</v>
      </c>
      <c r="B29" s="2" t="s">
        <v>136</v>
      </c>
      <c r="C29" s="3" t="s">
        <v>65</v>
      </c>
      <c r="D29" s="49">
        <v>0</v>
      </c>
      <c r="E29" s="81"/>
      <c r="F29" s="84"/>
      <c r="G29" s="84"/>
      <c r="H29" s="84"/>
      <c r="I29" s="84"/>
      <c r="J29" s="84"/>
      <c r="K29" s="59">
        <v>1</v>
      </c>
      <c r="L29" s="59">
        <v>0.25</v>
      </c>
      <c r="M29" s="59">
        <v>0.25</v>
      </c>
      <c r="N29" s="84"/>
      <c r="O29" s="81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2"/>
      <c r="AX29" s="82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82"/>
      <c r="BN29" s="82"/>
      <c r="BO29" s="82"/>
      <c r="BP29" s="82"/>
      <c r="BQ29" s="82"/>
      <c r="BR29" s="82"/>
      <c r="BS29" s="82"/>
      <c r="BT29" s="82"/>
      <c r="BU29" s="82"/>
      <c r="BV29" s="82"/>
      <c r="BW29" s="82"/>
      <c r="BX29" s="82"/>
      <c r="BY29" s="82"/>
      <c r="BZ29" s="82"/>
      <c r="CA29" s="82"/>
      <c r="CB29" s="82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82"/>
      <c r="CP29" s="82"/>
      <c r="CQ29" s="82"/>
      <c r="CR29" s="82"/>
      <c r="CS29" s="82"/>
      <c r="CT29" s="82"/>
      <c r="CU29" s="82"/>
      <c r="CV29" s="82"/>
      <c r="CW29" s="82"/>
      <c r="CX29" s="82"/>
      <c r="CY29" s="82"/>
      <c r="CZ29" s="82"/>
      <c r="DA29" s="82"/>
      <c r="DB29" s="82"/>
      <c r="DC29" s="82"/>
      <c r="DD29" s="83"/>
      <c r="DE29" s="47" cm="1">
        <f t="array" ref="DE29">IF(COUNTA(E29:DD29)=0,0,LOOKUP(2,1/(E29:DD29&lt;&gt;""),E$3:DD$3))</f>
        <v>46241</v>
      </c>
      <c r="DF29" s="50">
        <f ca="1">IF(Tableau13[[#This Row],[Etat]]=1,2,IF(Tableau13[[#This Row],[Date fin]]&lt;=$A$1,3,1))</f>
        <v>1</v>
      </c>
      <c r="DG29" s="48">
        <f>COUNTA(E29:DD29)</f>
        <v>3</v>
      </c>
      <c r="DH29" s="46" cm="1">
        <f t="array" ref="DH29">INDEX($E$2:$DD$2,MATCH(TRUE,E29:DD29&lt;&gt;"",0))</f>
        <v>46223</v>
      </c>
    </row>
    <row r="30" spans="1:112" ht="28.8" x14ac:dyDescent="0.3">
      <c r="A30" s="70" t="s">
        <v>156</v>
      </c>
      <c r="B30" s="2" t="s">
        <v>167</v>
      </c>
      <c r="C30" s="3" t="s">
        <v>153</v>
      </c>
      <c r="D30" s="49">
        <v>0</v>
      </c>
      <c r="E30" s="81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59">
        <v>0.5</v>
      </c>
      <c r="R30" s="59">
        <v>10</v>
      </c>
      <c r="S30" s="84"/>
      <c r="T30" s="84"/>
      <c r="U30" s="84"/>
      <c r="V30" s="84"/>
      <c r="W30" s="84"/>
      <c r="X30" s="84"/>
      <c r="Y30" s="84"/>
      <c r="Z30" s="84"/>
      <c r="AA30" s="84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82"/>
      <c r="BN30" s="82"/>
      <c r="BO30" s="82"/>
      <c r="BP30" s="82"/>
      <c r="BQ30" s="82"/>
      <c r="BR30" s="82"/>
      <c r="BS30" s="82"/>
      <c r="BT30" s="82"/>
      <c r="BU30" s="82"/>
      <c r="BV30" s="82"/>
      <c r="BW30" s="82"/>
      <c r="BX30" s="82"/>
      <c r="BY30" s="82"/>
      <c r="BZ30" s="82"/>
      <c r="CA30" s="82"/>
      <c r="CB30" s="82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82"/>
      <c r="CP30" s="82"/>
      <c r="CQ30" s="82"/>
      <c r="CR30" s="82"/>
      <c r="CS30" s="82"/>
      <c r="CT30" s="82"/>
      <c r="CU30" s="82"/>
      <c r="CV30" s="82"/>
      <c r="CW30" s="82"/>
      <c r="CX30" s="82"/>
      <c r="CY30" s="82"/>
      <c r="CZ30" s="82"/>
      <c r="DA30" s="82"/>
      <c r="DB30" s="82"/>
      <c r="DC30" s="82"/>
      <c r="DD30" s="83"/>
      <c r="DE30" s="47" cm="1">
        <f t="array" ref="DE30">IF(COUNTA(E30:DD30)=0,0,LOOKUP(2,1/(E30:DD30&lt;&gt;""),E$3:DD$3))</f>
        <v>46276</v>
      </c>
      <c r="DF30" s="50">
        <f ca="1">IF(Tableau13[[#This Row],[Etat]]=1,2,IF(Tableau13[[#This Row],[Date fin]]&lt;=$A$1,3,1))</f>
        <v>1</v>
      </c>
      <c r="DG30" s="48">
        <f>COUNTA(E30:DD30)</f>
        <v>2</v>
      </c>
      <c r="DH30" s="46" cm="1">
        <f t="array" ref="DH30">INDEX($E$2:$DD$2,MATCH(TRUE,E30:DD30&lt;&gt;"",0))</f>
        <v>46265</v>
      </c>
    </row>
    <row r="31" spans="1:112" ht="28.8" x14ac:dyDescent="0.3">
      <c r="A31" s="70" t="s">
        <v>156</v>
      </c>
      <c r="B31" s="2" t="s">
        <v>138</v>
      </c>
      <c r="C31" s="3" t="s">
        <v>65</v>
      </c>
      <c r="D31" s="49">
        <v>0</v>
      </c>
      <c r="E31" s="81"/>
      <c r="F31" s="84"/>
      <c r="G31" s="84"/>
      <c r="H31" s="84"/>
      <c r="I31" s="84"/>
      <c r="J31" s="84"/>
      <c r="K31" s="84"/>
      <c r="L31" s="84"/>
      <c r="M31" s="84"/>
      <c r="N31" s="84"/>
      <c r="O31" s="81"/>
      <c r="P31" s="84"/>
      <c r="Q31" s="84"/>
      <c r="R31" s="84"/>
      <c r="S31" s="59">
        <v>1</v>
      </c>
      <c r="T31" s="84"/>
      <c r="U31" s="84"/>
      <c r="V31" s="84"/>
      <c r="W31" s="84"/>
      <c r="X31" s="84"/>
      <c r="Y31" s="84"/>
      <c r="Z31" s="84"/>
      <c r="AA31" s="84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2"/>
      <c r="AX31" s="82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82"/>
      <c r="BN31" s="82"/>
      <c r="BO31" s="82"/>
      <c r="BP31" s="82"/>
      <c r="BQ31" s="82"/>
      <c r="BR31" s="82"/>
      <c r="BS31" s="82"/>
      <c r="BT31" s="82"/>
      <c r="BU31" s="82"/>
      <c r="BV31" s="82"/>
      <c r="BW31" s="82"/>
      <c r="BX31" s="82"/>
      <c r="BY31" s="82"/>
      <c r="BZ31" s="82"/>
      <c r="CA31" s="82"/>
      <c r="CB31" s="82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82"/>
      <c r="CP31" s="82"/>
      <c r="CQ31" s="82"/>
      <c r="CR31" s="82"/>
      <c r="CS31" s="82"/>
      <c r="CT31" s="82"/>
      <c r="CU31" s="82"/>
      <c r="CV31" s="82"/>
      <c r="CW31" s="82"/>
      <c r="CX31" s="82"/>
      <c r="CY31" s="82"/>
      <c r="CZ31" s="82"/>
      <c r="DA31" s="82"/>
      <c r="DB31" s="82"/>
      <c r="DC31" s="82"/>
      <c r="DD31" s="83"/>
      <c r="DE31" s="47" cm="1">
        <f t="array" ref="DE31">IF(COUNTA(E31:DD31)=0,0,LOOKUP(2,1/(E31:DD31&lt;&gt;""),E$3:DD$3))</f>
        <v>46283</v>
      </c>
      <c r="DF31" s="50">
        <f ca="1">IF(Tableau13[[#This Row],[Etat]]=1,2,IF(Tableau13[[#This Row],[Date fin]]&lt;=$A$1,3,1))</f>
        <v>1</v>
      </c>
      <c r="DG31" s="48">
        <f>COUNTA(E31:DD31)</f>
        <v>1</v>
      </c>
      <c r="DH31" s="46" cm="1">
        <f t="array" ref="DH31">INDEX($E$2:$DD$2,MATCH(TRUE,E31:DD31&lt;&gt;"",0))</f>
        <v>46279</v>
      </c>
    </row>
    <row r="32" spans="1:112" ht="28.8" x14ac:dyDescent="0.3">
      <c r="A32" s="70" t="s">
        <v>156</v>
      </c>
      <c r="B32" s="2" t="s">
        <v>137</v>
      </c>
      <c r="C32" s="3" t="s">
        <v>153</v>
      </c>
      <c r="D32" s="49">
        <v>0</v>
      </c>
      <c r="E32" s="81"/>
      <c r="F32" s="84"/>
      <c r="G32" s="84"/>
      <c r="H32" s="84"/>
      <c r="I32" s="84"/>
      <c r="J32" s="84"/>
      <c r="K32" s="84"/>
      <c r="L32" s="84"/>
      <c r="M32" s="84"/>
      <c r="N32" s="84"/>
      <c r="O32" s="81"/>
      <c r="P32" s="84"/>
      <c r="Q32" s="84"/>
      <c r="R32" s="84"/>
      <c r="S32" s="59">
        <v>1</v>
      </c>
      <c r="T32" s="84"/>
      <c r="U32" s="84"/>
      <c r="V32" s="84"/>
      <c r="W32" s="84"/>
      <c r="X32" s="84"/>
      <c r="Y32" s="84"/>
      <c r="Z32" s="84"/>
      <c r="AA32" s="84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  <c r="CW32" s="82"/>
      <c r="CX32" s="82"/>
      <c r="CY32" s="82"/>
      <c r="CZ32" s="82"/>
      <c r="DA32" s="82"/>
      <c r="DB32" s="82"/>
      <c r="DC32" s="82"/>
      <c r="DD32" s="83"/>
      <c r="DE32" s="47" cm="1">
        <f t="array" ref="DE32">IF(COUNTA(E32:DD32)=0,0,LOOKUP(2,1/(E32:DD32&lt;&gt;""),E$3:DD$3))</f>
        <v>46283</v>
      </c>
      <c r="DF32" s="50">
        <f ca="1">IF(Tableau13[[#This Row],[Etat]]=1,2,IF(Tableau13[[#This Row],[Date fin]]&lt;=$A$1,3,1))</f>
        <v>1</v>
      </c>
      <c r="DG32" s="48">
        <f>COUNTA(E32:DD32)</f>
        <v>1</v>
      </c>
      <c r="DH32" s="46" cm="1">
        <f t="array" ref="DH32">INDEX($E$2:$DD$2,MATCH(TRUE,E32:DD32&lt;&gt;"",0))</f>
        <v>46279</v>
      </c>
    </row>
    <row r="33" spans="1:112" ht="28.8" x14ac:dyDescent="0.3">
      <c r="A33" s="71" t="s">
        <v>157</v>
      </c>
      <c r="B33" s="2" t="s">
        <v>168</v>
      </c>
      <c r="C33" s="3" t="s">
        <v>153</v>
      </c>
      <c r="D33" s="49">
        <v>0</v>
      </c>
      <c r="E33" s="81"/>
      <c r="F33" s="84"/>
      <c r="G33" s="59">
        <v>1</v>
      </c>
      <c r="H33" s="59">
        <v>1</v>
      </c>
      <c r="I33" s="84"/>
      <c r="J33" s="84"/>
      <c r="K33" s="84"/>
      <c r="L33" s="84"/>
      <c r="M33" s="84"/>
      <c r="N33" s="84"/>
      <c r="O33" s="81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2"/>
      <c r="AC33" s="82"/>
      <c r="AD33" s="82"/>
      <c r="AE33" s="82"/>
      <c r="AF33" s="82"/>
      <c r="AG33" s="82"/>
      <c r="AH33" s="82"/>
      <c r="AI33" s="82"/>
      <c r="AJ33" s="82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2"/>
      <c r="AX33" s="82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82"/>
      <c r="BN33" s="82"/>
      <c r="BO33" s="82"/>
      <c r="BP33" s="82"/>
      <c r="BQ33" s="82"/>
      <c r="BR33" s="82"/>
      <c r="BS33" s="82"/>
      <c r="BT33" s="82"/>
      <c r="BU33" s="82"/>
      <c r="BV33" s="82"/>
      <c r="BW33" s="82"/>
      <c r="BX33" s="82"/>
      <c r="BY33" s="82"/>
      <c r="BZ33" s="82"/>
      <c r="CA33" s="82"/>
      <c r="CB33" s="82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82"/>
      <c r="CP33" s="82"/>
      <c r="CQ33" s="82"/>
      <c r="CR33" s="82"/>
      <c r="CS33" s="82"/>
      <c r="CT33" s="82"/>
      <c r="CU33" s="82"/>
      <c r="CV33" s="82"/>
      <c r="CW33" s="82"/>
      <c r="CX33" s="82"/>
      <c r="CY33" s="82"/>
      <c r="CZ33" s="82"/>
      <c r="DA33" s="82"/>
      <c r="DB33" s="82"/>
      <c r="DC33" s="82"/>
      <c r="DD33" s="83"/>
      <c r="DE33" s="47" cm="1">
        <f t="array" ref="DE33">IF(COUNTA(E33:DD33)=0,0,LOOKUP(2,1/(E33:DD33&lt;&gt;""),E$3:DD$3))</f>
        <v>46206</v>
      </c>
      <c r="DF33" s="50">
        <f ca="1">IF(Tableau13[[#This Row],[Etat]]=1,2,IF(Tableau13[[#This Row],[Date fin]]&lt;=$A$1,3,1))</f>
        <v>1</v>
      </c>
      <c r="DG33" s="48">
        <f>COUNTA(E33:DD33)</f>
        <v>2</v>
      </c>
      <c r="DH33" s="46" cm="1">
        <f t="array" ref="DH33">INDEX($E$2:$DD$2,MATCH(TRUE,E33:DD33&lt;&gt;"",0))</f>
        <v>46195</v>
      </c>
    </row>
    <row r="34" spans="1:112" ht="28.8" x14ac:dyDescent="0.3">
      <c r="A34" s="71" t="s">
        <v>157</v>
      </c>
      <c r="B34" s="2" t="s">
        <v>140</v>
      </c>
      <c r="C34" s="3" t="s">
        <v>153</v>
      </c>
      <c r="D34" s="49">
        <v>0</v>
      </c>
      <c r="E34" s="81"/>
      <c r="F34" s="84"/>
      <c r="G34" s="84"/>
      <c r="H34" s="84"/>
      <c r="I34" s="84"/>
      <c r="J34" s="84"/>
      <c r="K34" s="84"/>
      <c r="L34" s="84"/>
      <c r="M34" s="84"/>
      <c r="N34" s="84"/>
      <c r="O34" s="81"/>
      <c r="P34" s="59">
        <v>2</v>
      </c>
      <c r="Q34" s="59">
        <v>2</v>
      </c>
      <c r="R34" s="59">
        <v>2</v>
      </c>
      <c r="S34" s="84"/>
      <c r="T34" s="84"/>
      <c r="U34" s="84"/>
      <c r="V34" s="84"/>
      <c r="W34" s="84"/>
      <c r="X34" s="84"/>
      <c r="Y34" s="84"/>
      <c r="Z34" s="84"/>
      <c r="AA34" s="84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82"/>
      <c r="AX34" s="82"/>
      <c r="AY34" s="82"/>
      <c r="AZ34" s="82"/>
      <c r="BA34" s="82"/>
      <c r="BB34" s="82"/>
      <c r="BC34" s="82"/>
      <c r="BD34" s="82"/>
      <c r="BE34" s="82"/>
      <c r="BF34" s="82"/>
      <c r="BG34" s="82"/>
      <c r="BH34" s="82"/>
      <c r="BI34" s="82"/>
      <c r="BJ34" s="82"/>
      <c r="BK34" s="82"/>
      <c r="BL34" s="82"/>
      <c r="BM34" s="82"/>
      <c r="BN34" s="82"/>
      <c r="BO34" s="82"/>
      <c r="BP34" s="82"/>
      <c r="BQ34" s="82"/>
      <c r="BR34" s="82"/>
      <c r="BS34" s="82"/>
      <c r="BT34" s="82"/>
      <c r="BU34" s="82"/>
      <c r="BV34" s="82"/>
      <c r="BW34" s="82"/>
      <c r="BX34" s="82"/>
      <c r="BY34" s="82"/>
      <c r="BZ34" s="82"/>
      <c r="CA34" s="82"/>
      <c r="CB34" s="82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82"/>
      <c r="CP34" s="82"/>
      <c r="CQ34" s="82"/>
      <c r="CR34" s="82"/>
      <c r="CS34" s="82"/>
      <c r="CT34" s="82"/>
      <c r="CU34" s="82"/>
      <c r="CV34" s="82"/>
      <c r="CW34" s="82"/>
      <c r="CX34" s="82"/>
      <c r="CY34" s="82"/>
      <c r="CZ34" s="82"/>
      <c r="DA34" s="82"/>
      <c r="DB34" s="82"/>
      <c r="DC34" s="82"/>
      <c r="DD34" s="83"/>
      <c r="DE34" s="47" cm="1">
        <f t="array" ref="DE34">IF(COUNTA(E34:DD34)=0,0,LOOKUP(2,1/(E34:DD34&lt;&gt;""),E$3:DD$3))</f>
        <v>46276</v>
      </c>
      <c r="DF34" s="50">
        <f ca="1">IF(Tableau13[[#This Row],[Etat]]=1,2,IF(Tableau13[[#This Row],[Date fin]]&lt;=$A$1,3,1))</f>
        <v>1</v>
      </c>
      <c r="DG34" s="48">
        <f>COUNTA(E34:DD34)</f>
        <v>3</v>
      </c>
      <c r="DH34" s="46" cm="1">
        <f t="array" ref="DH34">INDEX($E$2:$DD$2,MATCH(TRUE,E34:DD34&lt;&gt;"",0))</f>
        <v>46258</v>
      </c>
    </row>
    <row r="35" spans="1:112" ht="28.8" x14ac:dyDescent="0.3">
      <c r="A35" s="71" t="s">
        <v>157</v>
      </c>
      <c r="B35" s="2" t="s">
        <v>139</v>
      </c>
      <c r="C35" s="3" t="s">
        <v>153</v>
      </c>
      <c r="D35" s="49">
        <v>0</v>
      </c>
      <c r="E35" s="81"/>
      <c r="F35" s="84"/>
      <c r="G35" s="84"/>
      <c r="H35" s="84"/>
      <c r="I35" s="84"/>
      <c r="J35" s="84"/>
      <c r="K35" s="84"/>
      <c r="L35" s="84"/>
      <c r="M35" s="84"/>
      <c r="N35" s="84"/>
      <c r="O35" s="81"/>
      <c r="P35" s="59">
        <v>2</v>
      </c>
      <c r="Q35" s="59">
        <v>2</v>
      </c>
      <c r="R35" s="59">
        <v>2</v>
      </c>
      <c r="S35" s="84"/>
      <c r="T35" s="84"/>
      <c r="U35" s="84"/>
      <c r="V35" s="84"/>
      <c r="W35" s="84"/>
      <c r="X35" s="84"/>
      <c r="Y35" s="84"/>
      <c r="Z35" s="84"/>
      <c r="AA35" s="84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2"/>
      <c r="AX35" s="82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82"/>
      <c r="BN35" s="82"/>
      <c r="BO35" s="82"/>
      <c r="BP35" s="82"/>
      <c r="BQ35" s="82"/>
      <c r="BR35" s="82"/>
      <c r="BS35" s="82"/>
      <c r="BT35" s="82"/>
      <c r="BU35" s="82"/>
      <c r="BV35" s="82"/>
      <c r="BW35" s="82"/>
      <c r="BX35" s="82"/>
      <c r="BY35" s="82"/>
      <c r="BZ35" s="82"/>
      <c r="CA35" s="82"/>
      <c r="CB35" s="82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  <c r="CW35" s="82"/>
      <c r="CX35" s="82"/>
      <c r="CY35" s="82"/>
      <c r="CZ35" s="82"/>
      <c r="DA35" s="82"/>
      <c r="DB35" s="82"/>
      <c r="DC35" s="82"/>
      <c r="DD35" s="83"/>
      <c r="DE35" s="47" cm="1">
        <f t="array" ref="DE35">IF(COUNTA(E35:DD35)=0,0,LOOKUP(2,1/(E35:DD35&lt;&gt;""),E$3:DD$3))</f>
        <v>46276</v>
      </c>
      <c r="DF35" s="50">
        <f ca="1">IF(Tableau13[[#This Row],[Etat]]=1,2,IF(Tableau13[[#This Row],[Date fin]]&lt;=$A$1,3,1))</f>
        <v>1</v>
      </c>
      <c r="DG35" s="48">
        <f>COUNTA(E35:DD35)</f>
        <v>3</v>
      </c>
      <c r="DH35" s="46" cm="1">
        <f t="array" ref="DH35">INDEX($E$2:$DD$2,MATCH(TRUE,E35:DD35&lt;&gt;"",0))</f>
        <v>46258</v>
      </c>
    </row>
    <row r="36" spans="1:112" ht="28.8" x14ac:dyDescent="0.3">
      <c r="A36" s="71" t="s">
        <v>157</v>
      </c>
      <c r="B36" s="2" t="s">
        <v>141</v>
      </c>
      <c r="C36" s="3" t="s">
        <v>153</v>
      </c>
      <c r="D36" s="49">
        <v>0</v>
      </c>
      <c r="E36" s="81"/>
      <c r="F36" s="84"/>
      <c r="G36" s="84"/>
      <c r="H36" s="84"/>
      <c r="I36" s="84"/>
      <c r="J36" s="84"/>
      <c r="K36" s="84"/>
      <c r="L36" s="84"/>
      <c r="M36" s="84"/>
      <c r="N36" s="84"/>
      <c r="O36" s="81"/>
      <c r="P36" s="84"/>
      <c r="Q36" s="84"/>
      <c r="R36" s="84"/>
      <c r="S36" s="59">
        <v>2</v>
      </c>
      <c r="T36" s="84"/>
      <c r="U36" s="84"/>
      <c r="V36" s="84"/>
      <c r="W36" s="84"/>
      <c r="X36" s="84"/>
      <c r="Y36" s="84"/>
      <c r="Z36" s="84"/>
      <c r="AA36" s="84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82"/>
      <c r="CP36" s="82"/>
      <c r="CQ36" s="82"/>
      <c r="CR36" s="82"/>
      <c r="CS36" s="82"/>
      <c r="CT36" s="82"/>
      <c r="CU36" s="82"/>
      <c r="CV36" s="82"/>
      <c r="CW36" s="82"/>
      <c r="CX36" s="82"/>
      <c r="CY36" s="82"/>
      <c r="CZ36" s="82"/>
      <c r="DA36" s="82"/>
      <c r="DB36" s="82"/>
      <c r="DC36" s="82"/>
      <c r="DD36" s="83"/>
      <c r="DE36" s="47" cm="1">
        <f t="array" ref="DE36">IF(COUNTA(E36:DD36)=0,0,LOOKUP(2,1/(E36:DD36&lt;&gt;""),E$3:DD$3))</f>
        <v>46283</v>
      </c>
      <c r="DF36" s="50">
        <f ca="1">IF(Tableau13[[#This Row],[Etat]]=1,2,IF(Tableau13[[#This Row],[Date fin]]&lt;=$A$1,3,1))</f>
        <v>1</v>
      </c>
      <c r="DG36" s="48">
        <f>COUNTA(E36:DD36)</f>
        <v>1</v>
      </c>
      <c r="DH36" s="46" cm="1">
        <f t="array" ref="DH36">INDEX($E$2:$DD$2,MATCH(TRUE,E36:DD36&lt;&gt;"",0))</f>
        <v>46279</v>
      </c>
    </row>
    <row r="37" spans="1:112" ht="28.8" x14ac:dyDescent="0.3">
      <c r="A37" s="70" t="s">
        <v>158</v>
      </c>
      <c r="B37" s="2" t="s">
        <v>142</v>
      </c>
      <c r="C37" s="3" t="s">
        <v>65</v>
      </c>
      <c r="D37" s="49">
        <v>0</v>
      </c>
      <c r="E37" s="81"/>
      <c r="F37" s="84"/>
      <c r="G37" s="84"/>
      <c r="H37" s="84"/>
      <c r="I37" s="84"/>
      <c r="J37" s="84"/>
      <c r="K37" s="59">
        <v>3</v>
      </c>
      <c r="L37" s="84"/>
      <c r="M37" s="84"/>
      <c r="N37" s="84"/>
      <c r="O37" s="81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82"/>
      <c r="CP37" s="82"/>
      <c r="CQ37" s="82"/>
      <c r="CR37" s="82"/>
      <c r="CS37" s="82"/>
      <c r="CT37" s="82"/>
      <c r="CU37" s="82"/>
      <c r="CV37" s="82"/>
      <c r="CW37" s="82"/>
      <c r="CX37" s="82"/>
      <c r="CY37" s="82"/>
      <c r="CZ37" s="82"/>
      <c r="DA37" s="82"/>
      <c r="DB37" s="82"/>
      <c r="DC37" s="82"/>
      <c r="DD37" s="83"/>
      <c r="DE37" s="47" cm="1">
        <f t="array" ref="DE37">IF(COUNTA(E37:DD37)=0,0,LOOKUP(2,1/(E37:DD37&lt;&gt;""),E$3:DD$3))</f>
        <v>46227</v>
      </c>
      <c r="DF37" s="50">
        <f ca="1">IF(Tableau13[[#This Row],[Etat]]=1,2,IF(Tableau13[[#This Row],[Date fin]]&lt;=$A$1,3,1))</f>
        <v>1</v>
      </c>
      <c r="DG37" s="48">
        <f>COUNTA(E37:DD37)</f>
        <v>1</v>
      </c>
      <c r="DH37" s="46" cm="1">
        <f t="array" ref="DH37">INDEX($E$2:$DD$2,MATCH(TRUE,E37:DD37&lt;&gt;"",0))</f>
        <v>46223</v>
      </c>
    </row>
    <row r="38" spans="1:112" ht="28.8" x14ac:dyDescent="0.3">
      <c r="A38" s="70" t="s">
        <v>158</v>
      </c>
      <c r="B38" s="2" t="s">
        <v>143</v>
      </c>
      <c r="C38" s="3" t="s">
        <v>169</v>
      </c>
      <c r="D38" s="49">
        <v>0</v>
      </c>
      <c r="E38" s="81"/>
      <c r="F38" s="84"/>
      <c r="G38" s="84"/>
      <c r="H38" s="84"/>
      <c r="I38" s="84"/>
      <c r="J38" s="84"/>
      <c r="K38" s="84"/>
      <c r="L38" s="59">
        <v>5</v>
      </c>
      <c r="M38" s="84"/>
      <c r="N38" s="84"/>
      <c r="O38" s="81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2"/>
      <c r="AX38" s="82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2"/>
      <c r="BP38" s="82"/>
      <c r="BQ38" s="82"/>
      <c r="BR38" s="82"/>
      <c r="BS38" s="82"/>
      <c r="BT38" s="82"/>
      <c r="BU38" s="82"/>
      <c r="BV38" s="82"/>
      <c r="BW38" s="82"/>
      <c r="BX38" s="82"/>
      <c r="BY38" s="82"/>
      <c r="BZ38" s="82"/>
      <c r="CA38" s="82"/>
      <c r="CB38" s="82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82"/>
      <c r="CO38" s="82"/>
      <c r="CP38" s="82"/>
      <c r="CQ38" s="82"/>
      <c r="CR38" s="82"/>
      <c r="CS38" s="82"/>
      <c r="CT38" s="82"/>
      <c r="CU38" s="82"/>
      <c r="CV38" s="82"/>
      <c r="CW38" s="82"/>
      <c r="CX38" s="82"/>
      <c r="CY38" s="82"/>
      <c r="CZ38" s="82"/>
      <c r="DA38" s="82"/>
      <c r="DB38" s="82"/>
      <c r="DC38" s="82"/>
      <c r="DD38" s="83"/>
      <c r="DE38" s="47" cm="1">
        <f t="array" ref="DE38">IF(COUNTA(E38:DD38)=0,0,LOOKUP(2,1/(E38:DD38&lt;&gt;""),E$3:DD$3))</f>
        <v>46234</v>
      </c>
      <c r="DF38" s="50">
        <f ca="1">IF(Tableau13[[#This Row],[Etat]]=1,2,IF(Tableau13[[#This Row],[Date fin]]&lt;=$A$1,3,1))</f>
        <v>1</v>
      </c>
      <c r="DG38" s="48">
        <f>COUNTA(E38:DD38)</f>
        <v>1</v>
      </c>
      <c r="DH38" s="46" cm="1">
        <f t="array" ref="DH38">INDEX($E$2:$DD$2,MATCH(TRUE,E38:DD38&lt;&gt;"",0))</f>
        <v>46230</v>
      </c>
    </row>
    <row r="39" spans="1:112" ht="28.8" x14ac:dyDescent="0.3">
      <c r="A39" s="70" t="s">
        <v>158</v>
      </c>
      <c r="B39" s="2" t="s">
        <v>170</v>
      </c>
      <c r="C39" s="3" t="s">
        <v>65</v>
      </c>
      <c r="D39" s="49">
        <v>0</v>
      </c>
      <c r="E39" s="81"/>
      <c r="F39" s="81"/>
      <c r="G39" s="84"/>
      <c r="H39" s="84"/>
      <c r="I39" s="81"/>
      <c r="J39" s="81"/>
      <c r="K39" s="81"/>
      <c r="L39" s="81"/>
      <c r="M39" s="76">
        <v>3</v>
      </c>
      <c r="N39" s="81"/>
      <c r="O39" s="81"/>
      <c r="P39" s="84"/>
      <c r="Q39" s="84"/>
      <c r="R39" s="84"/>
      <c r="S39" s="84"/>
      <c r="T39" s="59">
        <v>4</v>
      </c>
      <c r="U39" s="84"/>
      <c r="V39" s="84"/>
      <c r="W39" s="84"/>
      <c r="X39" s="84"/>
      <c r="Y39" s="81"/>
      <c r="Z39" s="81"/>
      <c r="AA39" s="81"/>
      <c r="AB39" s="82"/>
      <c r="AC39" s="82"/>
      <c r="AD39" s="82"/>
      <c r="AE39" s="82"/>
      <c r="AF39" s="82"/>
      <c r="AG39" s="82"/>
      <c r="AH39" s="82"/>
      <c r="AI39" s="82"/>
      <c r="AJ39" s="82"/>
      <c r="AK39" s="82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2"/>
      <c r="AX39" s="82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82"/>
      <c r="BM39" s="82"/>
      <c r="BN39" s="82"/>
      <c r="BO39" s="82"/>
      <c r="BP39" s="82"/>
      <c r="BQ39" s="82"/>
      <c r="BR39" s="82"/>
      <c r="BS39" s="82"/>
      <c r="BT39" s="82"/>
      <c r="BU39" s="82"/>
      <c r="BV39" s="82"/>
      <c r="BW39" s="82"/>
      <c r="BX39" s="82"/>
      <c r="BY39" s="82"/>
      <c r="BZ39" s="82"/>
      <c r="CA39" s="82"/>
      <c r="CB39" s="82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82"/>
      <c r="CO39" s="82"/>
      <c r="CP39" s="82"/>
      <c r="CQ39" s="82"/>
      <c r="CR39" s="82"/>
      <c r="CS39" s="82"/>
      <c r="CT39" s="82"/>
      <c r="CU39" s="82"/>
      <c r="CV39" s="82"/>
      <c r="CW39" s="82"/>
      <c r="CX39" s="82"/>
      <c r="CY39" s="82"/>
      <c r="CZ39" s="82"/>
      <c r="DA39" s="82"/>
      <c r="DB39" s="82"/>
      <c r="DC39" s="82"/>
      <c r="DD39" s="83"/>
      <c r="DE39" s="47" cm="1">
        <f t="array" ref="DE39">IF(COUNTA(E39:DD39)=0,0,LOOKUP(2,1/(E39:DD39&lt;&gt;""),E$3:DD$3))</f>
        <v>46290</v>
      </c>
      <c r="DF39" s="50">
        <f ca="1">IF(Tableau13[[#This Row],[Etat]]=1,2,IF(Tableau13[[#This Row],[Date fin]]&lt;=$A$1,3,1))</f>
        <v>1</v>
      </c>
      <c r="DG39" s="48">
        <f>COUNTA(E39:DD39)</f>
        <v>2</v>
      </c>
      <c r="DH39" s="46" cm="1">
        <f t="array" ref="DH39">INDEX($E$2:$DD$2,MATCH(TRUE,E39:DD39&lt;&gt;"",0))</f>
        <v>46237</v>
      </c>
    </row>
    <row r="40" spans="1:112" ht="28.8" x14ac:dyDescent="0.3">
      <c r="A40" s="72" t="s">
        <v>159</v>
      </c>
      <c r="B40" s="2" t="s">
        <v>145</v>
      </c>
      <c r="C40" s="3" t="s">
        <v>65</v>
      </c>
      <c r="D40" s="49">
        <v>0</v>
      </c>
      <c r="E40" s="81"/>
      <c r="F40" s="84"/>
      <c r="G40" s="84"/>
      <c r="H40" s="84"/>
      <c r="I40" s="84"/>
      <c r="J40" s="84"/>
      <c r="K40" s="59">
        <v>0.5</v>
      </c>
      <c r="L40" s="59">
        <v>0.5</v>
      </c>
      <c r="M40" s="84"/>
      <c r="N40" s="84"/>
      <c r="O40" s="84"/>
      <c r="P40" s="59">
        <v>0.5</v>
      </c>
      <c r="Q40" s="59">
        <v>0.5</v>
      </c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  <c r="AO40" s="82"/>
      <c r="AP40" s="82"/>
      <c r="AQ40" s="82"/>
      <c r="AR40" s="82"/>
      <c r="AS40" s="82"/>
      <c r="AT40" s="82"/>
      <c r="AU40" s="82"/>
      <c r="AV40" s="82"/>
      <c r="AW40" s="82"/>
      <c r="AX40" s="82"/>
      <c r="AY40" s="82"/>
      <c r="AZ40" s="82"/>
      <c r="BA40" s="82"/>
      <c r="BB40" s="82"/>
      <c r="BC40" s="82"/>
      <c r="BD40" s="82"/>
      <c r="BE40" s="82"/>
      <c r="BF40" s="82"/>
      <c r="BG40" s="82"/>
      <c r="BH40" s="82"/>
      <c r="BI40" s="82"/>
      <c r="BJ40" s="82"/>
      <c r="BK40" s="82"/>
      <c r="BL40" s="82"/>
      <c r="BM40" s="82"/>
      <c r="BN40" s="82"/>
      <c r="BO40" s="82"/>
      <c r="BP40" s="82"/>
      <c r="BQ40" s="82"/>
      <c r="BR40" s="82"/>
      <c r="BS40" s="82"/>
      <c r="BT40" s="82"/>
      <c r="BU40" s="82"/>
      <c r="BV40" s="82"/>
      <c r="BW40" s="82"/>
      <c r="BX40" s="82"/>
      <c r="BY40" s="82"/>
      <c r="BZ40" s="82"/>
      <c r="CA40" s="82"/>
      <c r="CB40" s="82"/>
      <c r="CC40" s="82"/>
      <c r="CD40" s="82"/>
      <c r="CE40" s="82"/>
      <c r="CF40" s="82"/>
      <c r="CG40" s="82"/>
      <c r="CH40" s="82"/>
      <c r="CI40" s="82"/>
      <c r="CJ40" s="82"/>
      <c r="CK40" s="82"/>
      <c r="CL40" s="82"/>
      <c r="CM40" s="82"/>
      <c r="CN40" s="82"/>
      <c r="CO40" s="82"/>
      <c r="CP40" s="82"/>
      <c r="CQ40" s="82"/>
      <c r="CR40" s="82"/>
      <c r="CS40" s="82"/>
      <c r="CT40" s="82"/>
      <c r="CU40" s="82"/>
      <c r="CV40" s="82"/>
      <c r="CW40" s="82"/>
      <c r="CX40" s="82"/>
      <c r="CY40" s="82"/>
      <c r="CZ40" s="82"/>
      <c r="DA40" s="82"/>
      <c r="DB40" s="82"/>
      <c r="DC40" s="82"/>
      <c r="DD40" s="83"/>
      <c r="DE40" s="47" cm="1">
        <f t="array" ref="DE40">IF(COUNTA(E40:DD40)=0,0,LOOKUP(2,1/(E40:DD40&lt;&gt;""),E$3:DD$3))</f>
        <v>46269</v>
      </c>
      <c r="DF40" s="50">
        <f ca="1">IF(Tableau13[[#This Row],[Etat]]=1,2,IF(Tableau13[[#This Row],[Date fin]]&lt;=$A$1,3,1))</f>
        <v>1</v>
      </c>
      <c r="DG40" s="48">
        <f>COUNTA(E40:DD40)</f>
        <v>4</v>
      </c>
      <c r="DH40" s="46" cm="1">
        <f t="array" ref="DH40">INDEX($E$2:$DD$2,MATCH(TRUE,E40:DD40&lt;&gt;"",0))</f>
        <v>46223</v>
      </c>
    </row>
    <row r="41" spans="1:112" ht="28.8" x14ac:dyDescent="0.3">
      <c r="A41" s="72" t="s">
        <v>159</v>
      </c>
      <c r="B41" s="2" t="s">
        <v>144</v>
      </c>
      <c r="C41" s="3" t="s">
        <v>65</v>
      </c>
      <c r="D41" s="49">
        <v>0</v>
      </c>
      <c r="E41" s="81"/>
      <c r="F41" s="84"/>
      <c r="G41" s="84"/>
      <c r="H41" s="84"/>
      <c r="I41" s="84"/>
      <c r="J41" s="84"/>
      <c r="K41" s="59">
        <v>1</v>
      </c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  <c r="AV41" s="82"/>
      <c r="AW41" s="82"/>
      <c r="AX41" s="82"/>
      <c r="AY41" s="82"/>
      <c r="AZ41" s="82"/>
      <c r="BA41" s="82"/>
      <c r="BB41" s="82"/>
      <c r="BC41" s="82"/>
      <c r="BD41" s="82"/>
      <c r="BE41" s="82"/>
      <c r="BF41" s="82"/>
      <c r="BG41" s="82"/>
      <c r="BH41" s="82"/>
      <c r="BI41" s="82"/>
      <c r="BJ41" s="82"/>
      <c r="BK41" s="82"/>
      <c r="BL41" s="82"/>
      <c r="BM41" s="82"/>
      <c r="BN41" s="82"/>
      <c r="BO41" s="82"/>
      <c r="BP41" s="82"/>
      <c r="BQ41" s="82"/>
      <c r="BR41" s="82"/>
      <c r="BS41" s="82"/>
      <c r="BT41" s="82"/>
      <c r="BU41" s="82"/>
      <c r="BV41" s="82"/>
      <c r="BW41" s="82"/>
      <c r="BX41" s="82"/>
      <c r="BY41" s="82"/>
      <c r="BZ41" s="82"/>
      <c r="CA41" s="82"/>
      <c r="CB41" s="82"/>
      <c r="CC41" s="82"/>
      <c r="CD41" s="82"/>
      <c r="CE41" s="82"/>
      <c r="CF41" s="82"/>
      <c r="CG41" s="82"/>
      <c r="CH41" s="82"/>
      <c r="CI41" s="82"/>
      <c r="CJ41" s="82"/>
      <c r="CK41" s="82"/>
      <c r="CL41" s="82"/>
      <c r="CM41" s="82"/>
      <c r="CN41" s="82"/>
      <c r="CO41" s="82"/>
      <c r="CP41" s="82"/>
      <c r="CQ41" s="82"/>
      <c r="CR41" s="82"/>
      <c r="CS41" s="82"/>
      <c r="CT41" s="82"/>
      <c r="CU41" s="82"/>
      <c r="CV41" s="82"/>
      <c r="CW41" s="82"/>
      <c r="CX41" s="82"/>
      <c r="CY41" s="82"/>
      <c r="CZ41" s="82"/>
      <c r="DA41" s="82"/>
      <c r="DB41" s="82"/>
      <c r="DC41" s="82"/>
      <c r="DD41" s="83"/>
      <c r="DE41" s="47" cm="1">
        <f t="array" ref="DE41">IF(COUNTA(E41:DD41)=0,0,LOOKUP(2,1/(E41:DD41&lt;&gt;""),E$3:DD$3))</f>
        <v>46227</v>
      </c>
      <c r="DF41" s="50">
        <f ca="1">IF(Tableau13[[#This Row],[Etat]]=1,2,IF(Tableau13[[#This Row],[Date fin]]&lt;=$A$1,3,1))</f>
        <v>1</v>
      </c>
      <c r="DG41" s="48">
        <f>COUNTA(E41:DD41)</f>
        <v>1</v>
      </c>
      <c r="DH41" s="46" cm="1">
        <f t="array" ref="DH41">INDEX($E$2:$DD$2,MATCH(TRUE,E41:DD41&lt;&gt;"",0))</f>
        <v>46223</v>
      </c>
    </row>
    <row r="42" spans="1:112" ht="28.8" x14ac:dyDescent="0.3">
      <c r="A42" s="72" t="s">
        <v>159</v>
      </c>
      <c r="B42" s="2" t="s">
        <v>146</v>
      </c>
      <c r="C42" s="3" t="s">
        <v>65</v>
      </c>
      <c r="D42" s="49">
        <v>0</v>
      </c>
      <c r="E42" s="81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59">
        <v>0.5</v>
      </c>
      <c r="S42" s="84"/>
      <c r="T42" s="84"/>
      <c r="U42" s="84"/>
      <c r="V42" s="84"/>
      <c r="W42" s="84"/>
      <c r="X42" s="84"/>
      <c r="Y42" s="84"/>
      <c r="Z42" s="84"/>
      <c r="AA42" s="84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  <c r="AV42" s="82"/>
      <c r="AW42" s="82"/>
      <c r="AX42" s="82"/>
      <c r="AY42" s="82"/>
      <c r="AZ42" s="82"/>
      <c r="BA42" s="82"/>
      <c r="BB42" s="82"/>
      <c r="BC42" s="82"/>
      <c r="BD42" s="82"/>
      <c r="BE42" s="82"/>
      <c r="BF42" s="82"/>
      <c r="BG42" s="82"/>
      <c r="BH42" s="82"/>
      <c r="BI42" s="82"/>
      <c r="BJ42" s="82"/>
      <c r="BK42" s="82"/>
      <c r="BL42" s="82"/>
      <c r="BM42" s="82"/>
      <c r="BN42" s="82"/>
      <c r="BO42" s="82"/>
      <c r="BP42" s="82"/>
      <c r="BQ42" s="82"/>
      <c r="BR42" s="82"/>
      <c r="BS42" s="82"/>
      <c r="BT42" s="82"/>
      <c r="BU42" s="82"/>
      <c r="BV42" s="82"/>
      <c r="BW42" s="82"/>
      <c r="BX42" s="82"/>
      <c r="BY42" s="82"/>
      <c r="BZ42" s="82"/>
      <c r="CA42" s="82"/>
      <c r="CB42" s="82"/>
      <c r="CC42" s="82"/>
      <c r="CD42" s="82"/>
      <c r="CE42" s="82"/>
      <c r="CF42" s="82"/>
      <c r="CG42" s="82"/>
      <c r="CH42" s="82"/>
      <c r="CI42" s="82"/>
      <c r="CJ42" s="82"/>
      <c r="CK42" s="82"/>
      <c r="CL42" s="82"/>
      <c r="CM42" s="82"/>
      <c r="CN42" s="82"/>
      <c r="CO42" s="82"/>
      <c r="CP42" s="82"/>
      <c r="CQ42" s="82"/>
      <c r="CR42" s="82"/>
      <c r="CS42" s="82"/>
      <c r="CT42" s="82"/>
      <c r="CU42" s="82"/>
      <c r="CV42" s="82"/>
      <c r="CW42" s="82"/>
      <c r="CX42" s="82"/>
      <c r="CY42" s="82"/>
      <c r="CZ42" s="82"/>
      <c r="DA42" s="82"/>
      <c r="DB42" s="82"/>
      <c r="DC42" s="82"/>
      <c r="DD42" s="83"/>
      <c r="DE42" s="47" cm="1">
        <f t="array" ref="DE42">IF(COUNTA(E42:DD42)=0,0,LOOKUP(2,1/(E42:DD42&lt;&gt;""),E$3:DD$3))</f>
        <v>46276</v>
      </c>
      <c r="DF42" s="50">
        <f ca="1">IF(Tableau13[[#This Row],[Etat]]=1,2,IF(Tableau13[[#This Row],[Date fin]]&lt;=$A$1,3,1))</f>
        <v>1</v>
      </c>
      <c r="DG42" s="48">
        <f>COUNTA(E42:DD42)</f>
        <v>1</v>
      </c>
      <c r="DH42" s="46" cm="1">
        <f t="array" ref="DH42">INDEX($E$2:$DD$2,MATCH(TRUE,E42:DD42&lt;&gt;"",0))</f>
        <v>46272</v>
      </c>
    </row>
    <row r="43" spans="1:112" ht="43.2" x14ac:dyDescent="0.3">
      <c r="A43" s="73" t="s">
        <v>160</v>
      </c>
      <c r="B43" s="74" t="s">
        <v>150</v>
      </c>
      <c r="C43" s="3" t="s">
        <v>65</v>
      </c>
      <c r="D43" s="49">
        <v>0</v>
      </c>
      <c r="E43" s="88"/>
      <c r="F43" s="94">
        <v>1</v>
      </c>
      <c r="G43" s="94">
        <v>1</v>
      </c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2"/>
      <c r="AC43" s="82"/>
      <c r="AD43" s="82"/>
      <c r="AE43" s="82"/>
      <c r="AF43" s="82"/>
      <c r="AG43" s="82"/>
      <c r="AH43" s="82"/>
      <c r="AI43" s="82"/>
      <c r="AJ43" s="82"/>
      <c r="AK43" s="82"/>
      <c r="AL43" s="82"/>
      <c r="AM43" s="82"/>
      <c r="AN43" s="82"/>
      <c r="AO43" s="82"/>
      <c r="AP43" s="82"/>
      <c r="AQ43" s="82"/>
      <c r="AR43" s="82"/>
      <c r="AS43" s="82"/>
      <c r="AT43" s="82"/>
      <c r="AU43" s="82"/>
      <c r="AV43" s="82"/>
      <c r="AW43" s="82"/>
      <c r="AX43" s="82"/>
      <c r="AY43" s="82"/>
      <c r="AZ43" s="82"/>
      <c r="BA43" s="82"/>
      <c r="BB43" s="82"/>
      <c r="BC43" s="82"/>
      <c r="BD43" s="82"/>
      <c r="BE43" s="82"/>
      <c r="BF43" s="82"/>
      <c r="BG43" s="82"/>
      <c r="BH43" s="82"/>
      <c r="BI43" s="82"/>
      <c r="BJ43" s="82"/>
      <c r="BK43" s="82"/>
      <c r="BL43" s="82"/>
      <c r="BM43" s="82"/>
      <c r="BN43" s="82"/>
      <c r="BO43" s="82"/>
      <c r="BP43" s="82"/>
      <c r="BQ43" s="82"/>
      <c r="BR43" s="82"/>
      <c r="BS43" s="82"/>
      <c r="BT43" s="82"/>
      <c r="BU43" s="82"/>
      <c r="BV43" s="82"/>
      <c r="BW43" s="82"/>
      <c r="BX43" s="82"/>
      <c r="BY43" s="82"/>
      <c r="BZ43" s="82"/>
      <c r="CA43" s="82"/>
      <c r="CB43" s="82"/>
      <c r="CC43" s="82"/>
      <c r="CD43" s="82"/>
      <c r="CE43" s="82"/>
      <c r="CF43" s="82"/>
      <c r="CG43" s="82"/>
      <c r="CH43" s="82"/>
      <c r="CI43" s="82"/>
      <c r="CJ43" s="82"/>
      <c r="CK43" s="82"/>
      <c r="CL43" s="82"/>
      <c r="CM43" s="82"/>
      <c r="CN43" s="82"/>
      <c r="CO43" s="82"/>
      <c r="CP43" s="82"/>
      <c r="CQ43" s="82"/>
      <c r="CR43" s="82"/>
      <c r="CS43" s="82"/>
      <c r="CT43" s="82"/>
      <c r="CU43" s="82"/>
      <c r="CV43" s="82"/>
      <c r="CW43" s="82"/>
      <c r="CX43" s="82"/>
      <c r="CY43" s="82"/>
      <c r="CZ43" s="82"/>
      <c r="DA43" s="82"/>
      <c r="DB43" s="82"/>
      <c r="DC43" s="82"/>
      <c r="DD43" s="83"/>
      <c r="DE43" s="47" cm="1">
        <f t="array" ref="DE43">IF(COUNTA(E43:DD43)=0,0,LOOKUP(2,1/(E43:DD43&lt;&gt;""),E$3:DD$3))</f>
        <v>46199</v>
      </c>
      <c r="DF43" s="42">
        <f ca="1">IF(Tableau13[[#This Row],[Etat]]=1,2,IF(Tableau13[[#This Row],[Date fin]]&lt;=$A$1,3,1))</f>
        <v>3</v>
      </c>
      <c r="DG43" s="48">
        <f>COUNTA(E43:DD43)</f>
        <v>2</v>
      </c>
      <c r="DH43" s="46" cm="1">
        <f t="array" ref="DH43">INDEX($E$2:$DD$2,MATCH(TRUE,E43:DD43&lt;&gt;"",0))</f>
        <v>46188</v>
      </c>
    </row>
    <row r="44" spans="1:112" ht="43.2" x14ac:dyDescent="0.3">
      <c r="A44" s="73" t="s">
        <v>160</v>
      </c>
      <c r="B44" s="2" t="s">
        <v>147</v>
      </c>
      <c r="C44" s="3" t="s">
        <v>65</v>
      </c>
      <c r="D44" s="49">
        <v>0</v>
      </c>
      <c r="E44" s="81"/>
      <c r="F44" s="84"/>
      <c r="G44" s="84"/>
      <c r="H44" s="84"/>
      <c r="I44" s="84"/>
      <c r="J44" s="84"/>
      <c r="K44" s="59">
        <v>3</v>
      </c>
      <c r="L44" s="59">
        <v>3</v>
      </c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2"/>
      <c r="AC44" s="82"/>
      <c r="AD44" s="82"/>
      <c r="AE44" s="82"/>
      <c r="AF44" s="82"/>
      <c r="AG44" s="82"/>
      <c r="AH44" s="82"/>
      <c r="AI44" s="82"/>
      <c r="AJ44" s="82"/>
      <c r="AK44" s="82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2"/>
      <c r="AX44" s="82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82"/>
      <c r="BM44" s="82"/>
      <c r="BN44" s="82"/>
      <c r="BO44" s="82"/>
      <c r="BP44" s="82"/>
      <c r="BQ44" s="82"/>
      <c r="BR44" s="82"/>
      <c r="BS44" s="82"/>
      <c r="BT44" s="82"/>
      <c r="BU44" s="82"/>
      <c r="BV44" s="82"/>
      <c r="BW44" s="82"/>
      <c r="BX44" s="82"/>
      <c r="BY44" s="82"/>
      <c r="BZ44" s="82"/>
      <c r="CA44" s="82"/>
      <c r="CB44" s="82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82"/>
      <c r="CO44" s="82"/>
      <c r="CP44" s="82"/>
      <c r="CQ44" s="82"/>
      <c r="CR44" s="82"/>
      <c r="CS44" s="82"/>
      <c r="CT44" s="82"/>
      <c r="CU44" s="82"/>
      <c r="CV44" s="82"/>
      <c r="CW44" s="82"/>
      <c r="CX44" s="82"/>
      <c r="CY44" s="82"/>
      <c r="CZ44" s="82"/>
      <c r="DA44" s="82"/>
      <c r="DB44" s="82"/>
      <c r="DC44" s="82"/>
      <c r="DD44" s="83"/>
      <c r="DE44" s="47" cm="1">
        <f t="array" ref="DE44">IF(COUNTA(E44:DD44)=0,0,LOOKUP(2,1/(E44:DD44&lt;&gt;""),E$3:DD$3))</f>
        <v>46234</v>
      </c>
      <c r="DF44" s="50">
        <f ca="1">IF(Tableau13[[#This Row],[Etat]]=1,2,IF(Tableau13[[#This Row],[Date fin]]&lt;=$A$1,3,1))</f>
        <v>1</v>
      </c>
      <c r="DG44" s="48">
        <f>COUNTA(E44:DD44)</f>
        <v>2</v>
      </c>
      <c r="DH44" s="46" cm="1">
        <f t="array" ref="DH44">INDEX($E$2:$DD$2,MATCH(TRUE,E44:DD44&lt;&gt;"",0))</f>
        <v>46223</v>
      </c>
    </row>
    <row r="45" spans="1:112" ht="43.2" x14ac:dyDescent="0.3">
      <c r="A45" s="73" t="s">
        <v>160</v>
      </c>
      <c r="B45" s="2" t="s">
        <v>148</v>
      </c>
      <c r="C45" s="3" t="s">
        <v>65</v>
      </c>
      <c r="D45" s="49">
        <v>0</v>
      </c>
      <c r="E45" s="81"/>
      <c r="F45" s="84"/>
      <c r="G45" s="84"/>
      <c r="H45" s="84"/>
      <c r="I45" s="84"/>
      <c r="J45" s="84"/>
      <c r="K45" s="59">
        <v>2</v>
      </c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2"/>
      <c r="AX45" s="82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82"/>
      <c r="BM45" s="82"/>
      <c r="BN45" s="82"/>
      <c r="BO45" s="82"/>
      <c r="BP45" s="82"/>
      <c r="BQ45" s="82"/>
      <c r="BR45" s="82"/>
      <c r="BS45" s="82"/>
      <c r="BT45" s="82"/>
      <c r="BU45" s="82"/>
      <c r="BV45" s="82"/>
      <c r="BW45" s="82"/>
      <c r="BX45" s="82"/>
      <c r="BY45" s="82"/>
      <c r="BZ45" s="82"/>
      <c r="CA45" s="82"/>
      <c r="CB45" s="82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82"/>
      <c r="CO45" s="82"/>
      <c r="CP45" s="82"/>
      <c r="CQ45" s="82"/>
      <c r="CR45" s="82"/>
      <c r="CS45" s="82"/>
      <c r="CT45" s="82"/>
      <c r="CU45" s="82"/>
      <c r="CV45" s="82"/>
      <c r="CW45" s="82"/>
      <c r="CX45" s="82"/>
      <c r="CY45" s="82"/>
      <c r="CZ45" s="82"/>
      <c r="DA45" s="82"/>
      <c r="DB45" s="82"/>
      <c r="DC45" s="82"/>
      <c r="DD45" s="83"/>
      <c r="DE45" s="47" cm="1">
        <f t="array" ref="DE45">IF(COUNTA(E45:DD45)=0,0,LOOKUP(2,1/(E45:DD45&lt;&gt;""),E$3:DD$3))</f>
        <v>46227</v>
      </c>
      <c r="DF45" s="50">
        <f ca="1">IF(Tableau13[[#This Row],[Etat]]=1,2,IF(Tableau13[[#This Row],[Date fin]]&lt;=$A$1,3,1))</f>
        <v>1</v>
      </c>
      <c r="DG45" s="48">
        <f>COUNTA(E45:DD45)</f>
        <v>1</v>
      </c>
      <c r="DH45" s="46" cm="1">
        <f t="array" ref="DH45">INDEX($E$2:$DD$2,MATCH(TRUE,E45:DD45&lt;&gt;"",0))</f>
        <v>46223</v>
      </c>
    </row>
    <row r="46" spans="1:112" ht="43.2" x14ac:dyDescent="0.3">
      <c r="A46" s="73" t="s">
        <v>160</v>
      </c>
      <c r="B46" s="2" t="s">
        <v>151</v>
      </c>
      <c r="C46" s="3" t="s">
        <v>65</v>
      </c>
      <c r="D46" s="49">
        <v>0</v>
      </c>
      <c r="E46" s="81"/>
      <c r="F46" s="84"/>
      <c r="G46" s="84"/>
      <c r="H46" s="84"/>
      <c r="I46" s="84"/>
      <c r="J46" s="84"/>
      <c r="K46" s="59">
        <v>1</v>
      </c>
      <c r="L46" s="59">
        <v>0.2</v>
      </c>
      <c r="M46" s="59">
        <v>0.2</v>
      </c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2"/>
      <c r="AC46" s="82"/>
      <c r="AD46" s="82"/>
      <c r="AE46" s="82"/>
      <c r="AF46" s="82"/>
      <c r="AG46" s="82"/>
      <c r="AH46" s="82"/>
      <c r="AI46" s="82"/>
      <c r="AJ46" s="82"/>
      <c r="AK46" s="82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2"/>
      <c r="AX46" s="82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82"/>
      <c r="BM46" s="82"/>
      <c r="BN46" s="82"/>
      <c r="BO46" s="82"/>
      <c r="BP46" s="82"/>
      <c r="BQ46" s="82"/>
      <c r="BR46" s="82"/>
      <c r="BS46" s="82"/>
      <c r="BT46" s="82"/>
      <c r="BU46" s="82"/>
      <c r="BV46" s="82"/>
      <c r="BW46" s="82"/>
      <c r="BX46" s="82"/>
      <c r="BY46" s="82"/>
      <c r="BZ46" s="82"/>
      <c r="CA46" s="82"/>
      <c r="CB46" s="82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82"/>
      <c r="CO46" s="82"/>
      <c r="CP46" s="82"/>
      <c r="CQ46" s="82"/>
      <c r="CR46" s="82"/>
      <c r="CS46" s="82"/>
      <c r="CT46" s="82"/>
      <c r="CU46" s="82"/>
      <c r="CV46" s="82"/>
      <c r="CW46" s="82"/>
      <c r="CX46" s="82"/>
      <c r="CY46" s="82"/>
      <c r="CZ46" s="82"/>
      <c r="DA46" s="82"/>
      <c r="DB46" s="82"/>
      <c r="DC46" s="82"/>
      <c r="DD46" s="83"/>
      <c r="DE46" s="47" cm="1">
        <f t="array" ref="DE46">IF(COUNTA(E46:DD46)=0,0,LOOKUP(2,1/(E46:DD46&lt;&gt;""),E$3:DD$3))</f>
        <v>46241</v>
      </c>
      <c r="DF46" s="50">
        <f ca="1">IF(Tableau13[[#This Row],[Etat]]=1,2,IF(Tableau13[[#This Row],[Date fin]]&lt;=$A$1,3,1))</f>
        <v>1</v>
      </c>
      <c r="DG46" s="96">
        <f>COUNTA(E46:DD46)</f>
        <v>3</v>
      </c>
      <c r="DH46" s="46" cm="1">
        <f t="array" ref="DH46">INDEX($E$2:$DD$2,MATCH(TRUE,E46:DD46&lt;&gt;"",0))</f>
        <v>46223</v>
      </c>
    </row>
    <row r="47" spans="1:112" ht="43.2" x14ac:dyDescent="0.3">
      <c r="A47" s="73" t="s">
        <v>160</v>
      </c>
      <c r="B47" s="2" t="s">
        <v>149</v>
      </c>
      <c r="C47" s="3" t="s">
        <v>65</v>
      </c>
      <c r="D47" s="65">
        <v>0</v>
      </c>
      <c r="E47" s="81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59">
        <v>2</v>
      </c>
      <c r="U47" s="84"/>
      <c r="V47" s="84"/>
      <c r="W47" s="84"/>
      <c r="X47" s="84"/>
      <c r="Y47" s="84"/>
      <c r="Z47" s="84"/>
      <c r="AA47" s="84"/>
      <c r="AB47" s="82"/>
      <c r="AC47" s="82"/>
      <c r="AD47" s="82"/>
      <c r="AE47" s="82"/>
      <c r="AF47" s="82"/>
      <c r="AG47" s="82"/>
      <c r="AH47" s="82"/>
      <c r="AI47" s="82"/>
      <c r="AJ47" s="82"/>
      <c r="AK47" s="82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2"/>
      <c r="AX47" s="82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82"/>
      <c r="BM47" s="82"/>
      <c r="BN47" s="82"/>
      <c r="BO47" s="82"/>
      <c r="BP47" s="82"/>
      <c r="BQ47" s="82"/>
      <c r="BR47" s="82"/>
      <c r="BS47" s="82"/>
      <c r="BT47" s="82"/>
      <c r="BU47" s="82"/>
      <c r="BV47" s="82"/>
      <c r="BW47" s="82"/>
      <c r="BX47" s="82"/>
      <c r="BY47" s="82"/>
      <c r="BZ47" s="82"/>
      <c r="CA47" s="82"/>
      <c r="CB47" s="82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82"/>
      <c r="CO47" s="82"/>
      <c r="CP47" s="82"/>
      <c r="CQ47" s="82"/>
      <c r="CR47" s="82"/>
      <c r="CS47" s="82"/>
      <c r="CT47" s="82"/>
      <c r="CU47" s="82"/>
      <c r="CV47" s="82"/>
      <c r="CW47" s="82"/>
      <c r="CX47" s="82"/>
      <c r="CY47" s="82"/>
      <c r="CZ47" s="82"/>
      <c r="DA47" s="82"/>
      <c r="DB47" s="82"/>
      <c r="DC47" s="82"/>
      <c r="DD47" s="83"/>
      <c r="DE47" s="47" cm="1">
        <f t="array" ref="DE47">IF(COUNTA(E47:DD47)=0,0,LOOKUP(2,1/(E47:DD47&lt;&gt;""),E$3:DD$3))</f>
        <v>46290</v>
      </c>
      <c r="DF47" s="53">
        <f ca="1">IF(Tableau13[[#This Row],[Etat]]=1,2,IF(Tableau13[[#This Row],[Date fin]]&lt;=$A$1,3,1))</f>
        <v>1</v>
      </c>
      <c r="DG47" s="48">
        <f>COUNTA(E47:DD47)</f>
        <v>1</v>
      </c>
      <c r="DH47" s="46" cm="1">
        <f t="array" ref="DH47">INDEX($E$2:$DD$2,MATCH(TRUE,E47:DD47&lt;&gt;"",0))</f>
        <v>46286</v>
      </c>
    </row>
    <row r="48" spans="1:112" ht="28.8" x14ac:dyDescent="0.3">
      <c r="A48" s="71" t="s">
        <v>161</v>
      </c>
      <c r="B48" s="2" t="s">
        <v>171</v>
      </c>
      <c r="C48" s="3" t="s">
        <v>65</v>
      </c>
      <c r="D48" s="65">
        <v>0</v>
      </c>
      <c r="E48" s="81"/>
      <c r="F48" s="84"/>
      <c r="G48" s="84"/>
      <c r="H48" s="84"/>
      <c r="I48" s="84"/>
      <c r="J48" s="84"/>
      <c r="K48" s="59">
        <v>0.2</v>
      </c>
      <c r="L48" s="84"/>
      <c r="M48" s="84"/>
      <c r="N48" s="84"/>
      <c r="O48" s="84"/>
      <c r="P48" s="84"/>
      <c r="Q48" s="84"/>
      <c r="R48" s="59">
        <v>3</v>
      </c>
      <c r="S48" s="84"/>
      <c r="T48" s="84"/>
      <c r="U48" s="84"/>
      <c r="V48" s="84"/>
      <c r="W48" s="84"/>
      <c r="X48" s="84"/>
      <c r="Y48" s="84"/>
      <c r="Z48" s="84"/>
      <c r="AA48" s="84"/>
      <c r="AB48" s="82"/>
      <c r="AC48" s="82"/>
      <c r="AD48" s="82"/>
      <c r="AE48" s="82"/>
      <c r="AF48" s="82"/>
      <c r="AG48" s="82"/>
      <c r="AH48" s="82"/>
      <c r="AI48" s="82"/>
      <c r="AJ48" s="82"/>
      <c r="AK48" s="82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2"/>
      <c r="AX48" s="82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82"/>
      <c r="BM48" s="82"/>
      <c r="BN48" s="82"/>
      <c r="BO48" s="82"/>
      <c r="BP48" s="82"/>
      <c r="BQ48" s="82"/>
      <c r="BR48" s="82"/>
      <c r="BS48" s="82"/>
      <c r="BT48" s="82"/>
      <c r="BU48" s="82"/>
      <c r="BV48" s="82"/>
      <c r="BW48" s="82"/>
      <c r="BX48" s="82"/>
      <c r="BY48" s="82"/>
      <c r="BZ48" s="82"/>
      <c r="CA48" s="82"/>
      <c r="CB48" s="82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82"/>
      <c r="CO48" s="82"/>
      <c r="CP48" s="82"/>
      <c r="CQ48" s="82"/>
      <c r="CR48" s="82"/>
      <c r="CS48" s="82"/>
      <c r="CT48" s="82"/>
      <c r="CU48" s="82"/>
      <c r="CV48" s="82"/>
      <c r="CW48" s="82"/>
      <c r="CX48" s="82"/>
      <c r="CY48" s="82"/>
      <c r="CZ48" s="82"/>
      <c r="DA48" s="82"/>
      <c r="DB48" s="82"/>
      <c r="DC48" s="82"/>
      <c r="DD48" s="83"/>
      <c r="DE48" s="47" cm="1">
        <f t="array" ref="DE48">IF(COUNTA(E48:DD48)=0,0,LOOKUP(2,1/(E48:DD48&lt;&gt;""),E$3:DD$3))</f>
        <v>46276</v>
      </c>
      <c r="DF48" s="53">
        <f ca="1">IF(Tableau13[[#This Row],[Etat]]=1,2,IF(Tableau13[[#This Row],[Date fin]]&lt;=$A$1,3,1))</f>
        <v>1</v>
      </c>
      <c r="DG48" s="48">
        <f>COUNTA(E48:DD48)</f>
        <v>2</v>
      </c>
      <c r="DH48" s="46" cm="1">
        <f t="array" ref="DH48">INDEX($E$2:$DD$2,MATCH(TRUE,E48:DD48&lt;&gt;"",0))</f>
        <v>46223</v>
      </c>
    </row>
    <row r="49" spans="1:112" x14ac:dyDescent="0.3">
      <c r="A49" s="51" t="s">
        <v>173</v>
      </c>
      <c r="B49" s="2" t="s">
        <v>172</v>
      </c>
      <c r="C49" s="3" t="s">
        <v>126</v>
      </c>
      <c r="D49" s="65">
        <v>0</v>
      </c>
      <c r="E49" s="81"/>
      <c r="F49" s="84"/>
      <c r="G49" s="94">
        <v>0.25</v>
      </c>
      <c r="H49" s="84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2"/>
      <c r="AC49" s="82"/>
      <c r="AD49" s="82"/>
      <c r="AE49" s="82"/>
      <c r="AF49" s="82"/>
      <c r="AG49" s="82"/>
      <c r="AH49" s="82"/>
      <c r="AI49" s="82"/>
      <c r="AJ49" s="82"/>
      <c r="AK49" s="82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2"/>
      <c r="AX49" s="82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82"/>
      <c r="BM49" s="82"/>
      <c r="BN49" s="82"/>
      <c r="BO49" s="82"/>
      <c r="BP49" s="82"/>
      <c r="BQ49" s="82"/>
      <c r="BR49" s="82"/>
      <c r="BS49" s="82"/>
      <c r="BT49" s="82"/>
      <c r="BU49" s="82"/>
      <c r="BV49" s="82"/>
      <c r="BW49" s="82"/>
      <c r="BX49" s="82"/>
      <c r="BY49" s="82"/>
      <c r="BZ49" s="82"/>
      <c r="CA49" s="82"/>
      <c r="CB49" s="82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82"/>
      <c r="CO49" s="82"/>
      <c r="CP49" s="82"/>
      <c r="CQ49" s="82"/>
      <c r="CR49" s="82"/>
      <c r="CS49" s="82"/>
      <c r="CT49" s="82"/>
      <c r="CU49" s="82"/>
      <c r="CV49" s="82"/>
      <c r="CW49" s="82"/>
      <c r="CX49" s="82"/>
      <c r="CY49" s="82"/>
      <c r="CZ49" s="82"/>
      <c r="DA49" s="82"/>
      <c r="DB49" s="82"/>
      <c r="DC49" s="82"/>
      <c r="DD49" s="83"/>
      <c r="DE49" s="47" cm="1">
        <f t="array" ref="DE49">IF(COUNTA(E49:DD49)=0,0,LOOKUP(2,1/(E49:DD49&lt;&gt;""),E$3:DD$3))</f>
        <v>46199</v>
      </c>
      <c r="DF49" s="66">
        <f ca="1">IF(Tableau13[[#This Row],[Etat]]=1,2,IF(Tableau13[[#This Row],[Date fin]]&lt;=$A$1,3,1))</f>
        <v>3</v>
      </c>
      <c r="DG49" s="48">
        <f>COUNTA(E49:DD49)</f>
        <v>1</v>
      </c>
      <c r="DH49" s="46" cm="1">
        <f t="array" ref="DH49">INDEX($E$2:$DD$2,MATCH(TRUE,E49:DD49&lt;&gt;"",0))</f>
        <v>46195</v>
      </c>
    </row>
    <row r="50" spans="1:112" x14ac:dyDescent="0.3">
      <c r="A50" s="51" t="s">
        <v>173</v>
      </c>
      <c r="B50" s="2" t="s">
        <v>175</v>
      </c>
      <c r="C50" s="3" t="s">
        <v>126</v>
      </c>
      <c r="D50" s="49">
        <v>0</v>
      </c>
      <c r="E50" s="81"/>
      <c r="F50" s="84"/>
      <c r="G50" s="94">
        <v>0.25</v>
      </c>
      <c r="H50" s="84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2"/>
      <c r="AX50" s="82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82"/>
      <c r="BM50" s="82"/>
      <c r="BN50" s="82"/>
      <c r="BO50" s="82"/>
      <c r="BP50" s="82"/>
      <c r="BQ50" s="82"/>
      <c r="BR50" s="82"/>
      <c r="BS50" s="82"/>
      <c r="BT50" s="82"/>
      <c r="BU50" s="82"/>
      <c r="BV50" s="82"/>
      <c r="BW50" s="82"/>
      <c r="BX50" s="82"/>
      <c r="BY50" s="82"/>
      <c r="BZ50" s="82"/>
      <c r="CA50" s="82"/>
      <c r="CB50" s="82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82"/>
      <c r="CP50" s="82"/>
      <c r="CQ50" s="82"/>
      <c r="CR50" s="82"/>
      <c r="CS50" s="82"/>
      <c r="CT50" s="82"/>
      <c r="CU50" s="82"/>
      <c r="CV50" s="82"/>
      <c r="CW50" s="82"/>
      <c r="CX50" s="82"/>
      <c r="CY50" s="82"/>
      <c r="CZ50" s="82"/>
      <c r="DA50" s="82"/>
      <c r="DB50" s="82"/>
      <c r="DC50" s="82"/>
      <c r="DD50" s="83"/>
      <c r="DE50" s="47" cm="1">
        <f t="array" ref="DE50">IF(COUNTA(E50:DD50)=0,0,LOOKUP(2,1/(E50:DD50&lt;&gt;""),E$3:DD$3))</f>
        <v>46199</v>
      </c>
      <c r="DF50" s="42">
        <f ca="1">IF(Tableau13[[#This Row],[Etat]]=1,2,IF(Tableau13[[#This Row],[Date fin]]&lt;=$A$1,3,1))</f>
        <v>3</v>
      </c>
      <c r="DG50" s="48">
        <f>COUNTA(E50:DD50)</f>
        <v>1</v>
      </c>
      <c r="DH50" s="46" cm="1">
        <f t="array" ref="DH50">INDEX($E$2:$DD$2,MATCH(TRUE,E50:DD50&lt;&gt;"",0))</f>
        <v>46195</v>
      </c>
    </row>
    <row r="51" spans="1:112" x14ac:dyDescent="0.3">
      <c r="A51" s="51" t="s">
        <v>173</v>
      </c>
      <c r="B51" s="2" t="s">
        <v>174</v>
      </c>
      <c r="C51" s="3" t="s">
        <v>126</v>
      </c>
      <c r="D51" s="65">
        <v>0</v>
      </c>
      <c r="E51" s="88"/>
      <c r="F51" s="84"/>
      <c r="G51" s="94">
        <v>0.5</v>
      </c>
      <c r="H51" s="84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2"/>
      <c r="AC51" s="82"/>
      <c r="AD51" s="82"/>
      <c r="AE51" s="82"/>
      <c r="AF51" s="82"/>
      <c r="AG51" s="82"/>
      <c r="AH51" s="82"/>
      <c r="AI51" s="82"/>
      <c r="AJ51" s="82"/>
      <c r="AK51" s="82"/>
      <c r="AL51" s="82"/>
      <c r="AM51" s="82"/>
      <c r="AN51" s="82"/>
      <c r="AO51" s="82"/>
      <c r="AP51" s="82"/>
      <c r="AQ51" s="82"/>
      <c r="AR51" s="82"/>
      <c r="AS51" s="82"/>
      <c r="AT51" s="82"/>
      <c r="AU51" s="82"/>
      <c r="AV51" s="82"/>
      <c r="AW51" s="82"/>
      <c r="AX51" s="82"/>
      <c r="AY51" s="82"/>
      <c r="AZ51" s="82"/>
      <c r="BA51" s="82"/>
      <c r="BB51" s="82"/>
      <c r="BC51" s="82"/>
      <c r="BD51" s="82"/>
      <c r="BE51" s="82"/>
      <c r="BF51" s="82"/>
      <c r="BG51" s="82"/>
      <c r="BH51" s="82"/>
      <c r="BI51" s="82"/>
      <c r="BJ51" s="82"/>
      <c r="BK51" s="82"/>
      <c r="BL51" s="82"/>
      <c r="BM51" s="82"/>
      <c r="BN51" s="82"/>
      <c r="BO51" s="82"/>
      <c r="BP51" s="82"/>
      <c r="BQ51" s="82"/>
      <c r="BR51" s="82"/>
      <c r="BS51" s="82"/>
      <c r="BT51" s="82"/>
      <c r="BU51" s="82"/>
      <c r="BV51" s="82"/>
      <c r="BW51" s="82"/>
      <c r="BX51" s="82"/>
      <c r="BY51" s="82"/>
      <c r="BZ51" s="82"/>
      <c r="CA51" s="82"/>
      <c r="CB51" s="82"/>
      <c r="CC51" s="82"/>
      <c r="CD51" s="82"/>
      <c r="CE51" s="82"/>
      <c r="CF51" s="82"/>
      <c r="CG51" s="82"/>
      <c r="CH51" s="82"/>
      <c r="CI51" s="82"/>
      <c r="CJ51" s="82"/>
      <c r="CK51" s="82"/>
      <c r="CL51" s="82"/>
      <c r="CM51" s="82"/>
      <c r="CN51" s="82"/>
      <c r="CO51" s="82"/>
      <c r="CP51" s="82"/>
      <c r="CQ51" s="82"/>
      <c r="CR51" s="82"/>
      <c r="CS51" s="82"/>
      <c r="CT51" s="82"/>
      <c r="CU51" s="82"/>
      <c r="CV51" s="82"/>
      <c r="CW51" s="82"/>
      <c r="CX51" s="82"/>
      <c r="CY51" s="82"/>
      <c r="CZ51" s="82"/>
      <c r="DA51" s="82"/>
      <c r="DB51" s="82"/>
      <c r="DC51" s="82"/>
      <c r="DD51" s="83"/>
      <c r="DE51" s="47" cm="1">
        <f t="array" ref="DE51">IF(COUNTA(E51:DD51)=0,0,LOOKUP(2,1/(E51:DD51&lt;&gt;""),E$3:DD$3))</f>
        <v>46199</v>
      </c>
      <c r="DF51" s="66">
        <f ca="1">IF(Tableau13[[#This Row],[Etat]]=1,2,IF(Tableau13[[#This Row],[Date fin]]&lt;=$A$1,3,1))</f>
        <v>3</v>
      </c>
      <c r="DG51" s="48">
        <f>COUNTA(E51:DD51)</f>
        <v>1</v>
      </c>
      <c r="DH51" s="46" cm="1">
        <f t="array" ref="DH51">INDEX($E$2:$DD$2,MATCH(TRUE,E51:DD51&lt;&gt;"",0))</f>
        <v>46195</v>
      </c>
    </row>
    <row r="52" spans="1:112" x14ac:dyDescent="0.3">
      <c r="A52" s="51"/>
      <c r="B52" s="2"/>
      <c r="C52" s="3"/>
      <c r="D52" s="65"/>
      <c r="E52" s="81"/>
      <c r="F52" s="84"/>
      <c r="G52" s="84"/>
      <c r="H52" s="84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2"/>
      <c r="AC52" s="82"/>
      <c r="AD52" s="82"/>
      <c r="AE52" s="82"/>
      <c r="AF52" s="82"/>
      <c r="AG52" s="82"/>
      <c r="AH52" s="82"/>
      <c r="AI52" s="82"/>
      <c r="AJ52" s="82"/>
      <c r="AK52" s="82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2"/>
      <c r="AX52" s="82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82"/>
      <c r="BM52" s="82"/>
      <c r="BN52" s="82"/>
      <c r="BO52" s="82"/>
      <c r="BP52" s="82"/>
      <c r="BQ52" s="82"/>
      <c r="BR52" s="82"/>
      <c r="BS52" s="82"/>
      <c r="BT52" s="82"/>
      <c r="BU52" s="82"/>
      <c r="BV52" s="82"/>
      <c r="BW52" s="82"/>
      <c r="BX52" s="82"/>
      <c r="BY52" s="82"/>
      <c r="BZ52" s="82"/>
      <c r="CA52" s="82"/>
      <c r="CB52" s="82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82"/>
      <c r="CP52" s="82"/>
      <c r="CQ52" s="82"/>
      <c r="CR52" s="82"/>
      <c r="CS52" s="82"/>
      <c r="CT52" s="82"/>
      <c r="CU52" s="82"/>
      <c r="CV52" s="82"/>
      <c r="CW52" s="82"/>
      <c r="CX52" s="82"/>
      <c r="CY52" s="82"/>
      <c r="CZ52" s="82"/>
      <c r="DA52" s="82"/>
      <c r="DB52" s="82"/>
      <c r="DC52" s="82"/>
      <c r="DD52" s="83"/>
      <c r="DE52" s="47" cm="1">
        <f t="array" ref="DE52">IF(COUNTA(E52:DD52)=0,0,LOOKUP(2,1/(E52:DD52&lt;&gt;""),E$3:DD$3))</f>
        <v>0</v>
      </c>
      <c r="DF52" s="66">
        <f ca="1">IF(Tableau13[[#This Row],[Etat]]=1,2,IF(Tableau13[[#This Row],[Date fin]]&lt;=$A$1,3,1))</f>
        <v>3</v>
      </c>
      <c r="DG52" s="48">
        <f>COUNTA(E52:DD52)</f>
        <v>0</v>
      </c>
      <c r="DH52" s="46" t="e" cm="1">
        <f t="array" ref="DH52">INDEX($E$2:$DD$2,MATCH(TRUE,E52:DD52&lt;&gt;"",0))</f>
        <v>#N/A</v>
      </c>
    </row>
    <row r="53" spans="1:112" x14ac:dyDescent="0.3">
      <c r="A53" s="51"/>
      <c r="B53" s="2"/>
      <c r="C53" s="3"/>
      <c r="D53" s="65">
        <v>1</v>
      </c>
      <c r="E53" s="81"/>
      <c r="F53" s="84"/>
      <c r="G53" s="84"/>
      <c r="H53" s="84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2"/>
      <c r="AC53" s="82"/>
      <c r="AD53" s="82"/>
      <c r="AE53" s="82"/>
      <c r="AF53" s="82"/>
      <c r="AG53" s="82"/>
      <c r="AH53" s="82"/>
      <c r="AI53" s="82"/>
      <c r="AJ53" s="82"/>
      <c r="AK53" s="82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2"/>
      <c r="AX53" s="82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82"/>
      <c r="BM53" s="82"/>
      <c r="BN53" s="82"/>
      <c r="BO53" s="82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82"/>
      <c r="CP53" s="82"/>
      <c r="CQ53" s="82"/>
      <c r="CR53" s="82"/>
      <c r="CS53" s="82"/>
      <c r="CT53" s="82"/>
      <c r="CU53" s="82"/>
      <c r="CV53" s="82"/>
      <c r="CW53" s="82"/>
      <c r="CX53" s="82"/>
      <c r="CY53" s="82"/>
      <c r="CZ53" s="82"/>
      <c r="DA53" s="82"/>
      <c r="DB53" s="82"/>
      <c r="DC53" s="82"/>
      <c r="DD53" s="83"/>
      <c r="DE53" s="47" cm="1">
        <f t="array" ref="DE53">IF(COUNTA(E53:DD53)=0,0,LOOKUP(2,1/(E53:DD53&lt;&gt;""),E$3:DD$3))</f>
        <v>0</v>
      </c>
      <c r="DF53" s="78">
        <f>IF(Tableau13[[#This Row],[Etat]]=1,2,IF(Tableau13[[#This Row],[Date fin]]&lt;=$A$1,3,1))</f>
        <v>2</v>
      </c>
      <c r="DG53" s="48">
        <f>COUNTA(E53:DD53)</f>
        <v>0</v>
      </c>
      <c r="DH53" s="46" t="e" cm="1">
        <f t="array" ref="DH53">INDEX($E$2:$DD$2,MATCH(TRUE,E53:DD53&lt;&gt;"",0))</f>
        <v>#N/A</v>
      </c>
    </row>
    <row r="54" spans="1:112" x14ac:dyDescent="0.3">
      <c r="A54" s="54"/>
      <c r="B54" s="2"/>
      <c r="C54" s="3"/>
      <c r="D54" s="49"/>
      <c r="E54" s="81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2"/>
      <c r="AC54" s="82"/>
      <c r="AD54" s="82"/>
      <c r="AE54" s="82"/>
      <c r="AF54" s="82"/>
      <c r="AG54" s="82"/>
      <c r="AH54" s="82"/>
      <c r="AI54" s="82"/>
      <c r="AJ54" s="82"/>
      <c r="AK54" s="82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2"/>
      <c r="AX54" s="82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82"/>
      <c r="BM54" s="82"/>
      <c r="BN54" s="82"/>
      <c r="BO54" s="82"/>
      <c r="BP54" s="82"/>
      <c r="BQ54" s="82"/>
      <c r="BR54" s="82"/>
      <c r="BS54" s="82"/>
      <c r="BT54" s="82"/>
      <c r="BU54" s="82"/>
      <c r="BV54" s="82"/>
      <c r="BW54" s="82"/>
      <c r="BX54" s="82"/>
      <c r="BY54" s="82"/>
      <c r="BZ54" s="82"/>
      <c r="CA54" s="82"/>
      <c r="CB54" s="82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82"/>
      <c r="CO54" s="82"/>
      <c r="CP54" s="82"/>
      <c r="CQ54" s="82"/>
      <c r="CR54" s="82"/>
      <c r="CS54" s="82"/>
      <c r="CT54" s="82"/>
      <c r="CU54" s="82"/>
      <c r="CV54" s="82"/>
      <c r="CW54" s="82"/>
      <c r="CX54" s="82"/>
      <c r="CY54" s="82"/>
      <c r="CZ54" s="82"/>
      <c r="DA54" s="82"/>
      <c r="DB54" s="82"/>
      <c r="DC54" s="82"/>
      <c r="DD54" s="83"/>
      <c r="DE54" s="47" cm="1">
        <f t="array" ref="DE54">IF(COUNTA(E54:DD54)=0,0,LOOKUP(2,1/(E54:DD54&lt;&gt;""),E$3:DD$3))</f>
        <v>0</v>
      </c>
      <c r="DF54" s="42">
        <f ca="1">IF(Tableau13[[#This Row],[Etat]]=1,2,IF(Tableau13[[#This Row],[Date fin]]&lt;=$A$1,3,1))</f>
        <v>3</v>
      </c>
      <c r="DG54" s="48">
        <f>COUNTA(E54:DD54)</f>
        <v>0</v>
      </c>
      <c r="DH54" s="46" t="e" cm="1">
        <f t="array" ref="DH54">INDEX($E$2:$DD$2,MATCH(TRUE,E54:DD54&lt;&gt;"",0))</f>
        <v>#N/A</v>
      </c>
    </row>
    <row r="55" spans="1:112" ht="15" thickBot="1" x14ac:dyDescent="0.35">
      <c r="A55" s="52"/>
      <c r="B55" s="14"/>
      <c r="C55" s="7"/>
      <c r="D55" s="55"/>
      <c r="E55" s="89"/>
      <c r="F55" s="90"/>
      <c r="G55" s="90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91"/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91"/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91"/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2"/>
      <c r="DE55" s="47" cm="1">
        <f t="array" ref="DE55">IF(COUNTA(E55:DD55)=0,0,LOOKUP(2,1/(E55:DD55&lt;&gt;""),E$3:DD$3))</f>
        <v>0</v>
      </c>
      <c r="DF55" s="42">
        <f ca="1">IF(Tableau13[[#This Row],[Etat]]=1,2,IF(Tableau13[[#This Row],[Date fin]]&lt;=$A$1,3,1))</f>
        <v>3</v>
      </c>
      <c r="DG55" s="45">
        <f>COUNTA(E55:DD55)</f>
        <v>0</v>
      </c>
      <c r="DH55" s="46" t="e" cm="1">
        <f t="array" ref="DH55">INDEX($E$2:$DD$2,MATCH(TRUE,E55:DD55&lt;&gt;"",0))</f>
        <v>#N/A</v>
      </c>
    </row>
    <row r="56" spans="1:112" x14ac:dyDescent="0.3">
      <c r="C56" s="61" t="s">
        <v>126</v>
      </c>
      <c r="D56" s="62"/>
      <c r="E56" s="61" t="str" cm="1">
        <f t="array" ref="E56">IF($C56="","",_xlfn.LET(
_xlpm.r,SUMPRODUCT((ISNUMBER(SEARCH($C56,$C$6:$C$55)))*(E$6:E$55)/(LEN($C$6:$C$55)-LEN(SUBSTITUTE($C$6:$C$55,CHAR(10),""))+1)),
IF(_xlpm.r=0,"",_xlpm.r)
))</f>
        <v/>
      </c>
      <c r="F56" s="61" t="str" cm="1">
        <f t="array" ref="F56">IF($C56="","",_xlfn.LET(
_xlpm.r,SUMPRODUCT((ISNUMBER(SEARCH($C56,$C$6:$C$55)))*(F$6:F$55)/(LEN($C$6:$C$55)-LEN(SUBSTITUTE($C$6:$C$55,CHAR(10),""))+1)),
IF(_xlpm.r=0,"",_xlpm.r)
))</f>
        <v/>
      </c>
      <c r="G56" s="61" cm="1">
        <f t="array" ref="G56">IF($C56="","",_xlfn.LET(
_xlpm.r,SUMPRODUCT((ISNUMBER(SEARCH($C56,$C$6:$C$55)))*(G$6:G$55)/(LEN($C$6:$C$55)-LEN(SUBSTITUTE($C$6:$C$55,CHAR(10),""))+1)),
IF(_xlpm.r=0,"",_xlpm.r)
))</f>
        <v>3</v>
      </c>
      <c r="H56" s="61" cm="1">
        <f t="array" ref="H56">IF($C56="","",_xlfn.LET(
_xlpm.r,SUMPRODUCT((ISNUMBER(SEARCH($C56,$C$6:$C$55)))*(H$6:H$55)/(LEN($C$6:$C$55)-LEN(SUBSTITUTE($C$6:$C$55,CHAR(10),""))+1)),
IF(_xlpm.r=0,"",_xlpm.r)
))</f>
        <v>3</v>
      </c>
      <c r="I56" s="61" cm="1">
        <f t="array" ref="I56">IF($C56="","",_xlfn.LET(
_xlpm.r,SUMPRODUCT((ISNUMBER(SEARCH($C56,$C$6:$C$55)))*(I$6:I$55)/(LEN($C$6:$C$55)-LEN(SUBSTITUTE($C$6:$C$55,CHAR(10),""))+1)),
IF(_xlpm.r=0,"",_xlpm.r)
))</f>
        <v>3</v>
      </c>
      <c r="J56" s="61" cm="1">
        <f t="array" ref="J56">IF($C56="","",_xlfn.LET(
_xlpm.r,SUMPRODUCT((ISNUMBER(SEARCH($C56,$C$6:$C$55)))*(J$6:J$55)/(LEN($C$6:$C$55)-LEN(SUBSTITUTE($C$6:$C$55,CHAR(10),""))+1)),
IF(_xlpm.r=0,"",_xlpm.r)
))</f>
        <v>1</v>
      </c>
      <c r="K56" s="61" t="str" cm="1">
        <f t="array" ref="K56">IF($C56="","",_xlfn.LET(
_xlpm.r,SUMPRODUCT((ISNUMBER(SEARCH($C56,$C$6:$C$55)))*(K$6:K$55)/(LEN($C$6:$C$55)-LEN(SUBSTITUTE($C$6:$C$55,CHAR(10),""))+1)),
IF(_xlpm.r=0,"",_xlpm.r)
))</f>
        <v/>
      </c>
      <c r="L56" s="61" t="str" cm="1">
        <f t="array" ref="L56">IF($C56="","",_xlfn.LET(
_xlpm.r,SUMPRODUCT((ISNUMBER(SEARCH($C56,$C$6:$C$55)))*(L$6:L$55)/(LEN($C$6:$C$55)-LEN(SUBSTITUTE($C$6:$C$55,CHAR(10),""))+1)),
IF(_xlpm.r=0,"",_xlpm.r)
))</f>
        <v/>
      </c>
      <c r="M56" s="61" t="str" cm="1">
        <f t="array" ref="M56">IF($C56="","",_xlfn.LET(
_xlpm.r,SUMPRODUCT((ISNUMBER(SEARCH($C56,$C$6:$C$55)))*(M$6:M$55)/(LEN($C$6:$C$55)-LEN(SUBSTITUTE($C$6:$C$55,CHAR(10),""))+1)),
IF(_xlpm.r=0,"",_xlpm.r)
))</f>
        <v/>
      </c>
      <c r="N56" s="61" t="str" cm="1">
        <f t="array" ref="N56">IF($C56="","",_xlfn.LET(
_xlpm.r,SUMPRODUCT((ISNUMBER(SEARCH($C56,$C$6:$C$55)))*(N$6:N$55)/(LEN($C$6:$C$55)-LEN(SUBSTITUTE($C$6:$C$55,CHAR(10),""))+1)),
IF(_xlpm.r=0,"",_xlpm.r)
))</f>
        <v/>
      </c>
      <c r="O56" s="61" t="str" cm="1">
        <f t="array" ref="O56">IF($C56="","",_xlfn.LET(
_xlpm.r,SUMPRODUCT((ISNUMBER(SEARCH($C56,$C$6:$C$55)))*(O$6:O$55)/(LEN($C$6:$C$55)-LEN(SUBSTITUTE($C$6:$C$55,CHAR(10),""))+1)),
IF(_xlpm.r=0,"",_xlpm.r)
))</f>
        <v/>
      </c>
      <c r="P56" s="61" t="str" cm="1">
        <f t="array" ref="P56">IF($C56="","",_xlfn.LET(
_xlpm.r,SUMPRODUCT((ISNUMBER(SEARCH($C56,$C$6:$C$55)))*(P$6:P$55)/(LEN($C$6:$C$55)-LEN(SUBSTITUTE($C$6:$C$55,CHAR(10),""))+1)),
IF(_xlpm.r=0,"",_xlpm.r)
))</f>
        <v/>
      </c>
      <c r="Q56" s="61" cm="1">
        <f t="array" ref="Q56">IF($C56="","",_xlfn.LET(
_xlpm.r,SUMPRODUCT((ISNUMBER(SEARCH($C56,$C$6:$C$55)))*(Q$6:Q$55)/(LEN($C$6:$C$55)-LEN(SUBSTITUTE($C$6:$C$55,CHAR(10),""))+1)),
IF(_xlpm.r=0,"",_xlpm.r)
))</f>
        <v>8</v>
      </c>
      <c r="R56" s="61" cm="1">
        <f t="array" ref="R56">IF($C56="","",_xlfn.LET(
_xlpm.r,SUMPRODUCT((ISNUMBER(SEARCH($C56,$C$6:$C$55)))*(R$6:R$55)/(LEN($C$6:$C$55)-LEN(SUBSTITUTE($C$6:$C$55,CHAR(10),""))+1)),
IF(_xlpm.r=0,"",_xlpm.r)
))</f>
        <v>3</v>
      </c>
      <c r="S56" s="61" cm="1">
        <f t="array" ref="S56">IF($C56="","",_xlfn.LET(
_xlpm.r,SUMPRODUCT((ISNUMBER(SEARCH($C56,$C$6:$C$55)))*(S$6:S$55)/(LEN($C$6:$C$55)-LEN(SUBSTITUTE($C$6:$C$55,CHAR(10),""))+1)),
IF(_xlpm.r=0,"",_xlpm.r)
))</f>
        <v>3</v>
      </c>
      <c r="T56" s="61" cm="1">
        <f t="array" ref="T56">IF($C56="","",_xlfn.LET(
_xlpm.r,SUMPRODUCT((ISNUMBER(SEARCH($C56,$C$6:$C$55)))*(T$6:T$55)/(LEN($C$6:$C$55)-LEN(SUBSTITUTE($C$6:$C$55,CHAR(10),""))+1)),
IF(_xlpm.r=0,"",_xlpm.r)
))</f>
        <v>3</v>
      </c>
      <c r="U56" s="61" cm="1">
        <f t="array" ref="U56">IF($C56="","",_xlfn.LET(
_xlpm.r,SUMPRODUCT((ISNUMBER(SEARCH($C56,$C$6:$C$55)))*(U$6:U$55)/(LEN($C$6:$C$55)-LEN(SUBSTITUTE($C$6:$C$55,CHAR(10),""))+1)),
IF(_xlpm.r=0,"",_xlpm.r)
))</f>
        <v>3</v>
      </c>
      <c r="V56" s="61" t="str" cm="1">
        <f t="array" ref="V56">IF($C56="","",_xlfn.LET(
_xlpm.r,SUMPRODUCT((ISNUMBER(SEARCH($C56,$C$6:$C$55)))*(V$6:V$55)/(LEN($C$6:$C$55)-LEN(SUBSTITUTE($C$6:$C$55,CHAR(10),""))+1)),
IF(_xlpm.r=0,"",_xlpm.r)
))</f>
        <v/>
      </c>
      <c r="W56" s="61" t="str" cm="1">
        <f t="array" ref="W56">IF($C56="","",_xlfn.LET(
_xlpm.r,SUMPRODUCT((ISNUMBER(SEARCH($C56,$C$6:$C$55)))*(W$6:W$55)/(LEN($C$6:$C$55)-LEN(SUBSTITUTE($C$6:$C$55,CHAR(10),""))+1)),
IF(_xlpm.r=0,"",_xlpm.r)
))</f>
        <v/>
      </c>
      <c r="X56" s="61" t="str" cm="1">
        <f t="array" ref="X56">IF($C56="","",_xlfn.LET(
_xlpm.r,SUMPRODUCT((ISNUMBER(SEARCH($C56,$C$6:$C$55)))*(X$6:X$55)/(LEN($C$6:$C$55)-LEN(SUBSTITUTE($C$6:$C$55,CHAR(10),""))+1)),
IF(_xlpm.r=0,"",_xlpm.r)
))</f>
        <v/>
      </c>
      <c r="Y56" s="61" t="str" cm="1">
        <f t="array" ref="Y56">IF($C56="","",_xlfn.LET(
_xlpm.r,SUMPRODUCT((ISNUMBER(SEARCH($C56,$C$6:$C$55)))*(Y$6:Y$55)/(LEN($C$6:$C$55)-LEN(SUBSTITUTE($C$6:$C$55,CHAR(10),""))+1)),
IF(_xlpm.r=0,"",_xlpm.r)
))</f>
        <v/>
      </c>
      <c r="Z56" s="61" t="str" cm="1">
        <f t="array" ref="Z56">IF($C56="","",_xlfn.LET(
_xlpm.r,SUMPRODUCT((ISNUMBER(SEARCH($C56,$C$6:$C$55)))*(Z$6:Z$55)/(LEN($C$6:$C$55)-LEN(SUBSTITUTE($C$6:$C$55,CHAR(10),""))+1)),
IF(_xlpm.r=0,"",_xlpm.r)
))</f>
        <v/>
      </c>
      <c r="AA56" s="61" t="str" cm="1">
        <f t="array" ref="AA56">IF($C56="","",_xlfn.LET(
_xlpm.r,SUMPRODUCT((ISNUMBER(SEARCH($C56,$C$6:$C$55)))*(AA$6:AA$55)/(LEN($C$6:$C$55)-LEN(SUBSTITUTE($C$6:$C$55,CHAR(10),""))+1)),
IF(_xlpm.r=0,"",_xlpm.r)
))</f>
        <v/>
      </c>
      <c r="AB56" s="61" t="str" cm="1">
        <f t="array" ref="AB56">IF($C56="","",_xlfn.LET(
_xlpm.r,SUMPRODUCT((ISNUMBER(SEARCH($C56,$C$6:$C$55)))*(AB$6:AB$55)/(LEN($C$6:$C$55)-LEN(SUBSTITUTE($C$6:$C$55,CHAR(10),""))+1)),
IF(_xlpm.r=0,"",_xlpm.r)
))</f>
        <v/>
      </c>
      <c r="AC56" s="61" t="str" cm="1">
        <f t="array" ref="AC56">IF($C56="","",_xlfn.LET(
_xlpm.r,SUMPRODUCT((ISNUMBER(SEARCH($C56,$C$6:$C$55)))*(AC$6:AC$55)/(LEN($C$6:$C$55)-LEN(SUBSTITUTE($C$6:$C$55,CHAR(10),""))+1)),
IF(_xlpm.r=0,"",_xlpm.r)
))</f>
        <v/>
      </c>
      <c r="AD56" s="61" t="str" cm="1">
        <f t="array" ref="AD56">IF($C56="","",_xlfn.LET(
_xlpm.r,SUMPRODUCT((ISNUMBER(SEARCH($C56,$C$6:$C$55)))*(AD$6:AD$55)/(LEN($C$6:$C$55)-LEN(SUBSTITUTE($C$6:$C$55,CHAR(10),""))+1)),
IF(_xlpm.r=0,"",_xlpm.r)
))</f>
        <v/>
      </c>
      <c r="AE56" s="61" t="str" cm="1">
        <f t="array" ref="AE56">IF($C56="","",_xlfn.LET(
_xlpm.r,SUMPRODUCT((ISNUMBER(SEARCH($C56,$C$6:$C$55)))*(AE$6:AE$55)/(LEN($C$6:$C$55)-LEN(SUBSTITUTE($C$6:$C$55,CHAR(10),""))+1)),
IF(_xlpm.r=0,"",_xlpm.r)
))</f>
        <v/>
      </c>
      <c r="AF56" s="61" t="str" cm="1">
        <f t="array" ref="AF56">IF($C56="","",_xlfn.LET(
_xlpm.r,SUMPRODUCT((ISNUMBER(SEARCH($C56,$C$6:$C$55)))*(AF$6:AF$55)/(LEN($C$6:$C$55)-LEN(SUBSTITUTE($C$6:$C$55,CHAR(10),""))+1)),
IF(_xlpm.r=0,"",_xlpm.r)
))</f>
        <v/>
      </c>
      <c r="AG56" s="61" t="str" cm="1">
        <f t="array" ref="AG56">IF($C56="","",_xlfn.LET(
_xlpm.r,SUMPRODUCT((ISNUMBER(SEARCH($C56,$C$6:$C$55)))*(AG$6:AG$55)/(LEN($C$6:$C$55)-LEN(SUBSTITUTE($C$6:$C$55,CHAR(10),""))+1)),
IF(_xlpm.r=0,"",_xlpm.r)
))</f>
        <v/>
      </c>
      <c r="AH56" s="61" t="str" cm="1">
        <f t="array" ref="AH56">IF($C56="","",_xlfn.LET(
_xlpm.r,SUMPRODUCT((ISNUMBER(SEARCH($C56,$C$6:$C$55)))*(AH$6:AH$55)/(LEN($C$6:$C$55)-LEN(SUBSTITUTE($C$6:$C$55,CHAR(10),""))+1)),
IF(_xlpm.r=0,"",_xlpm.r)
))</f>
        <v/>
      </c>
      <c r="AI56" s="61" t="str" cm="1">
        <f t="array" ref="AI56">IF($C56="","",_xlfn.LET(
_xlpm.r,SUMPRODUCT((ISNUMBER(SEARCH($C56,$C$6:$C$55)))*(AI$6:AI$55)/(LEN($C$6:$C$55)-LEN(SUBSTITUTE($C$6:$C$55,CHAR(10),""))+1)),
IF(_xlpm.r=0,"",_xlpm.r)
))</f>
        <v/>
      </c>
      <c r="AJ56" s="61" t="str" cm="1">
        <f t="array" ref="AJ56">IF($C56="","",_xlfn.LET(
_xlpm.r,SUMPRODUCT((ISNUMBER(SEARCH($C56,$C$6:$C$55)))*(AJ$6:AJ$55)/(LEN($C$6:$C$55)-LEN(SUBSTITUTE($C$6:$C$55,CHAR(10),""))+1)),
IF(_xlpm.r=0,"",_xlpm.r)
))</f>
        <v/>
      </c>
      <c r="AK56" s="61" t="str" cm="1">
        <f t="array" ref="AK56">IF($C56="","",_xlfn.LET(
_xlpm.r,SUMPRODUCT((ISNUMBER(SEARCH($C56,$C$6:$C$55)))*(AK$6:AK$55)/(LEN($C$6:$C$55)-LEN(SUBSTITUTE($C$6:$C$55,CHAR(10),""))+1)),
IF(_xlpm.r=0,"",_xlpm.r)
))</f>
        <v/>
      </c>
      <c r="AL56" s="61" t="str" cm="1">
        <f t="array" ref="AL56">IF($C56="","",_xlfn.LET(
_xlpm.r,SUMPRODUCT((ISNUMBER(SEARCH($C56,$C$6:$C$55)))*(AL$6:AL$55)/(LEN($C$6:$C$55)-LEN(SUBSTITUTE($C$6:$C$55,CHAR(10),""))+1)),
IF(_xlpm.r=0,"",_xlpm.r)
))</f>
        <v/>
      </c>
      <c r="AM56" s="61" t="str" cm="1">
        <f t="array" ref="AM56">IF($C56="","",_xlfn.LET(
_xlpm.r,SUMPRODUCT((ISNUMBER(SEARCH($C56,$C$6:$C$55)))*(AM$6:AM$55)/(LEN($C$6:$C$55)-LEN(SUBSTITUTE($C$6:$C$55,CHAR(10),""))+1)),
IF(_xlpm.r=0,"",_xlpm.r)
))</f>
        <v/>
      </c>
      <c r="AN56" s="61" t="str" cm="1">
        <f t="array" ref="AN56">IF($C56="","",_xlfn.LET(
_xlpm.r,SUMPRODUCT((ISNUMBER(SEARCH($C56,$C$6:$C$55)))*(AN$6:AN$55)/(LEN($C$6:$C$55)-LEN(SUBSTITUTE($C$6:$C$55,CHAR(10),""))+1)),
IF(_xlpm.r=0,"",_xlpm.r)
))</f>
        <v/>
      </c>
      <c r="AO56" s="61" t="str" cm="1">
        <f t="array" ref="AO56">IF($C56="","",_xlfn.LET(
_xlpm.r,SUMPRODUCT((ISNUMBER(SEARCH($C56,$C$6:$C$55)))*(AO$6:AO$55)/(LEN($C$6:$C$55)-LEN(SUBSTITUTE($C$6:$C$55,CHAR(10),""))+1)),
IF(_xlpm.r=0,"",_xlpm.r)
))</f>
        <v/>
      </c>
      <c r="AP56" s="61" t="str" cm="1">
        <f t="array" ref="AP56">IF($C56="","",_xlfn.LET(
_xlpm.r,SUMPRODUCT((ISNUMBER(SEARCH($C56,$C$6:$C$55)))*(AP$6:AP$55)/(LEN($C$6:$C$55)-LEN(SUBSTITUTE($C$6:$C$55,CHAR(10),""))+1)),
IF(_xlpm.r=0,"",_xlpm.r)
))</f>
        <v/>
      </c>
      <c r="AQ56" s="61" t="str" cm="1">
        <f t="array" ref="AQ56">IF($C56="","",_xlfn.LET(
_xlpm.r,SUMPRODUCT((ISNUMBER(SEARCH($C56,$C$6:$C$55)))*(AQ$6:AQ$55)/(LEN($C$6:$C$55)-LEN(SUBSTITUTE($C$6:$C$55,CHAR(10),""))+1)),
IF(_xlpm.r=0,"",_xlpm.r)
))</f>
        <v/>
      </c>
      <c r="AR56" s="61" t="str" cm="1">
        <f t="array" ref="AR56">IF($C56="","",_xlfn.LET(
_xlpm.r,SUMPRODUCT((ISNUMBER(SEARCH($C56,$C$6:$C$55)))*(AR$6:AR$55)/(LEN($C$6:$C$55)-LEN(SUBSTITUTE($C$6:$C$55,CHAR(10),""))+1)),
IF(_xlpm.r=0,"",_xlpm.r)
))</f>
        <v/>
      </c>
      <c r="AS56" s="61" t="str" cm="1">
        <f t="array" ref="AS56">IF($C56="","",_xlfn.LET(
_xlpm.r,SUMPRODUCT((ISNUMBER(SEARCH($C56,$C$6:$C$55)))*(AS$6:AS$55)/(LEN($C$6:$C$55)-LEN(SUBSTITUTE($C$6:$C$55,CHAR(10),""))+1)),
IF(_xlpm.r=0,"",_xlpm.r)
))</f>
        <v/>
      </c>
      <c r="AT56" s="61" t="str" cm="1">
        <f t="array" ref="AT56">IF($C56="","",_xlfn.LET(
_xlpm.r,SUMPRODUCT((ISNUMBER(SEARCH($C56,$C$6:$C$55)))*(AT$6:AT$55)/(LEN($C$6:$C$55)-LEN(SUBSTITUTE($C$6:$C$55,CHAR(10),""))+1)),
IF(_xlpm.r=0,"",_xlpm.r)
))</f>
        <v/>
      </c>
      <c r="AU56" s="61" t="str" cm="1">
        <f t="array" ref="AU56">IF($C56="","",_xlfn.LET(
_xlpm.r,SUMPRODUCT((ISNUMBER(SEARCH($C56,$C$6:$C$55)))*(AU$6:AU$55)/(LEN($C$6:$C$55)-LEN(SUBSTITUTE($C$6:$C$55,CHAR(10),""))+1)),
IF(_xlpm.r=0,"",_xlpm.r)
))</f>
        <v/>
      </c>
      <c r="AV56" s="61" t="str" cm="1">
        <f t="array" ref="AV56">IF($C56="","",_xlfn.LET(
_xlpm.r,SUMPRODUCT((ISNUMBER(SEARCH($C56,$C$6:$C$55)))*(AV$6:AV$55)/(LEN($C$6:$C$55)-LEN(SUBSTITUTE($C$6:$C$55,CHAR(10),""))+1)),
IF(_xlpm.r=0,"",_xlpm.r)
))</f>
        <v/>
      </c>
      <c r="AW56" s="61" t="str" cm="1">
        <f t="array" ref="AW56">IF($C56="","",_xlfn.LET(
_xlpm.r,SUMPRODUCT((ISNUMBER(SEARCH($C56,$C$6:$C$55)))*(AW$6:AW$55)/(LEN($C$6:$C$55)-LEN(SUBSTITUTE($C$6:$C$55,CHAR(10),""))+1)),
IF(_xlpm.r=0,"",_xlpm.r)
))</f>
        <v/>
      </c>
      <c r="AX56" s="61" t="str" cm="1">
        <f t="array" ref="AX56">IF($C56="","",_xlfn.LET(
_xlpm.r,SUMPRODUCT((ISNUMBER(SEARCH($C56,$C$6:$C$55)))*(AX$6:AX$55)/(LEN($C$6:$C$55)-LEN(SUBSTITUTE($C$6:$C$55,CHAR(10),""))+1)),
IF(_xlpm.r=0,"",_xlpm.r)
))</f>
        <v/>
      </c>
      <c r="AY56" s="61" t="str" cm="1">
        <f t="array" ref="AY56">IF($C56="","",_xlfn.LET(
_xlpm.r,SUMPRODUCT((ISNUMBER(SEARCH($C56,$C$6:$C$55)))*(AY$6:AY$55)/(LEN($C$6:$C$55)-LEN(SUBSTITUTE($C$6:$C$55,CHAR(10),""))+1)),
IF(_xlpm.r=0,"",_xlpm.r)
))</f>
        <v/>
      </c>
      <c r="AZ56" s="61" t="str" cm="1">
        <f t="array" ref="AZ56">IF($C56="","",_xlfn.LET(
_xlpm.r,SUMPRODUCT((ISNUMBER(SEARCH($C56,$C$6:$C$55)))*(AZ$6:AZ$55)/(LEN($C$6:$C$55)-LEN(SUBSTITUTE($C$6:$C$55,CHAR(10),""))+1)),
IF(_xlpm.r=0,"",_xlpm.r)
))</f>
        <v/>
      </c>
      <c r="BA56" s="61" t="str" cm="1">
        <f t="array" ref="BA56">IF($C56="","",_xlfn.LET(
_xlpm.r,SUMPRODUCT((ISNUMBER(SEARCH($C56,$C$6:$C$55)))*(BA$6:BA$55)/(LEN($C$6:$C$55)-LEN(SUBSTITUTE($C$6:$C$55,CHAR(10),""))+1)),
IF(_xlpm.r=0,"",_xlpm.r)
))</f>
        <v/>
      </c>
      <c r="BB56" s="61" t="str" cm="1">
        <f t="array" ref="BB56">IF($C56="","",_xlfn.LET(
_xlpm.r,SUMPRODUCT((ISNUMBER(SEARCH($C56,$C$6:$C$55)))*(BB$6:BB$55)/(LEN($C$6:$C$55)-LEN(SUBSTITUTE($C$6:$C$55,CHAR(10),""))+1)),
IF(_xlpm.r=0,"",_xlpm.r)
))</f>
        <v/>
      </c>
      <c r="BC56" s="61" t="str" cm="1">
        <f t="array" ref="BC56">IF($C56="","",_xlfn.LET(
_xlpm.r,SUMPRODUCT((ISNUMBER(SEARCH($C56,$C$6:$C$55)))*(BC$6:BC$55)/(LEN($C$6:$C$55)-LEN(SUBSTITUTE($C$6:$C$55,CHAR(10),""))+1)),
IF(_xlpm.r=0,"",_xlpm.r)
))</f>
        <v/>
      </c>
      <c r="BD56" s="61" t="str" cm="1">
        <f t="array" ref="BD56">IF($C56="","",_xlfn.LET(
_xlpm.r,SUMPRODUCT((ISNUMBER(SEARCH($C56,$C$6:$C$55)))*(BD$6:BD$55)/(LEN($C$6:$C$55)-LEN(SUBSTITUTE($C$6:$C$55,CHAR(10),""))+1)),
IF(_xlpm.r=0,"",_xlpm.r)
))</f>
        <v/>
      </c>
      <c r="BE56" s="61" t="str" cm="1">
        <f t="array" ref="BE56">IF($C56="","",_xlfn.LET(
_xlpm.r,SUMPRODUCT((ISNUMBER(SEARCH($C56,$C$6:$C$55)))*(BE$6:BE$55)/(LEN($C$6:$C$55)-LEN(SUBSTITUTE($C$6:$C$55,CHAR(10),""))+1)),
IF(_xlpm.r=0,"",_xlpm.r)
))</f>
        <v/>
      </c>
      <c r="BF56" s="61" t="str" cm="1">
        <f t="array" ref="BF56">IF($C56="","",_xlfn.LET(
_xlpm.r,SUMPRODUCT((ISNUMBER(SEARCH($C56,$C$6:$C$55)))*(BF$6:BF$55)/(LEN($C$6:$C$55)-LEN(SUBSTITUTE($C$6:$C$55,CHAR(10),""))+1)),
IF(_xlpm.r=0,"",_xlpm.r)
))</f>
        <v/>
      </c>
      <c r="BG56" s="61" t="str" cm="1">
        <f t="array" ref="BG56">IF($C56="","",_xlfn.LET(
_xlpm.r,SUMPRODUCT((ISNUMBER(SEARCH($C56,$C$6:$C$55)))*(BG$6:BG$55)/(LEN($C$6:$C$55)-LEN(SUBSTITUTE($C$6:$C$55,CHAR(10),""))+1)),
IF(_xlpm.r=0,"",_xlpm.r)
))</f>
        <v/>
      </c>
      <c r="BH56" s="61" t="str" cm="1">
        <f t="array" ref="BH56">IF($C56="","",_xlfn.LET(
_xlpm.r,SUMPRODUCT((ISNUMBER(SEARCH($C56,$C$6:$C$55)))*(BH$6:BH$55)/(LEN($C$6:$C$55)-LEN(SUBSTITUTE($C$6:$C$55,CHAR(10),""))+1)),
IF(_xlpm.r=0,"",_xlpm.r)
))</f>
        <v/>
      </c>
      <c r="BI56" s="61" t="str" cm="1">
        <f t="array" ref="BI56">IF($C56="","",_xlfn.LET(
_xlpm.r,SUMPRODUCT((ISNUMBER(SEARCH($C56,$C$6:$C$55)))*(BI$6:BI$55)/(LEN($C$6:$C$55)-LEN(SUBSTITUTE($C$6:$C$55,CHAR(10),""))+1)),
IF(_xlpm.r=0,"",_xlpm.r)
))</f>
        <v/>
      </c>
      <c r="BJ56" s="61" t="str" cm="1">
        <f t="array" ref="BJ56">IF($C56="","",_xlfn.LET(
_xlpm.r,SUMPRODUCT((ISNUMBER(SEARCH($C56,$C$6:$C$55)))*(BJ$6:BJ$55)/(LEN($C$6:$C$55)-LEN(SUBSTITUTE($C$6:$C$55,CHAR(10),""))+1)),
IF(_xlpm.r=0,"",_xlpm.r)
))</f>
        <v/>
      </c>
      <c r="BK56" s="61" t="str" cm="1">
        <f t="array" ref="BK56">IF($C56="","",_xlfn.LET(
_xlpm.r,SUMPRODUCT((ISNUMBER(SEARCH($C56,$C$6:$C$55)))*(BK$6:BK$55)/(LEN($C$6:$C$55)-LEN(SUBSTITUTE($C$6:$C$55,CHAR(10),""))+1)),
IF(_xlpm.r=0,"",_xlpm.r)
))</f>
        <v/>
      </c>
      <c r="BL56" s="61" t="str" cm="1">
        <f t="array" ref="BL56">IF($C56="","",_xlfn.LET(
_xlpm.r,SUMPRODUCT((ISNUMBER(SEARCH($C56,$C$6:$C$55)))*(BL$6:BL$55)/(LEN($C$6:$C$55)-LEN(SUBSTITUTE($C$6:$C$55,CHAR(10),""))+1)),
IF(_xlpm.r=0,"",_xlpm.r)
))</f>
        <v/>
      </c>
      <c r="BM56" s="61" t="str" cm="1">
        <f t="array" ref="BM56">IF($C56="","",_xlfn.LET(
_xlpm.r,SUMPRODUCT((ISNUMBER(SEARCH($C56,$C$6:$C$55)))*(BM$6:BM$55)/(LEN($C$6:$C$55)-LEN(SUBSTITUTE($C$6:$C$55,CHAR(10),""))+1)),
IF(_xlpm.r=0,"",_xlpm.r)
))</f>
        <v/>
      </c>
      <c r="BN56" s="61" t="str" cm="1">
        <f t="array" ref="BN56">IF($C56="","",_xlfn.LET(
_xlpm.r,SUMPRODUCT((ISNUMBER(SEARCH($C56,$C$6:$C$55)))*(BN$6:BN$55)/(LEN($C$6:$C$55)-LEN(SUBSTITUTE($C$6:$C$55,CHAR(10),""))+1)),
IF(_xlpm.r=0,"",_xlpm.r)
))</f>
        <v/>
      </c>
      <c r="BO56" s="61" t="str" cm="1">
        <f t="array" ref="BO56">IF($C56="","",_xlfn.LET(
_xlpm.r,SUMPRODUCT((ISNUMBER(SEARCH($C56,$C$6:$C$55)))*(BO$6:BO$55)/(LEN($C$6:$C$55)-LEN(SUBSTITUTE($C$6:$C$55,CHAR(10),""))+1)),
IF(_xlpm.r=0,"",_xlpm.r)
))</f>
        <v/>
      </c>
      <c r="BP56" s="61" t="str" cm="1">
        <f t="array" ref="BP56">IF($C56="","",_xlfn.LET(
_xlpm.r,SUMPRODUCT((ISNUMBER(SEARCH($C56,$C$6:$C$55)))*(BP$6:BP$55)/(LEN($C$6:$C$55)-LEN(SUBSTITUTE($C$6:$C$55,CHAR(10),""))+1)),
IF(_xlpm.r=0,"",_xlpm.r)
))</f>
        <v/>
      </c>
      <c r="BQ56" s="61" t="str" cm="1">
        <f t="array" ref="BQ56">IF($C56="","",_xlfn.LET(
_xlpm.r,SUMPRODUCT((ISNUMBER(SEARCH($C56,$C$6:$C$55)))*(BQ$6:BQ$55)/(LEN($C$6:$C$55)-LEN(SUBSTITUTE($C$6:$C$55,CHAR(10),""))+1)),
IF(_xlpm.r=0,"",_xlpm.r)
))</f>
        <v/>
      </c>
      <c r="BR56" s="61" t="str" cm="1">
        <f t="array" ref="BR56">IF($C56="","",_xlfn.LET(
_xlpm.r,SUMPRODUCT((ISNUMBER(SEARCH($C56,$C$6:$C$55)))*(BR$6:BR$55)/(LEN($C$6:$C$55)-LEN(SUBSTITUTE($C$6:$C$55,CHAR(10),""))+1)),
IF(_xlpm.r=0,"",_xlpm.r)
))</f>
        <v/>
      </c>
      <c r="BS56" s="61" t="str" cm="1">
        <f t="array" ref="BS56">IF($C56="","",_xlfn.LET(
_xlpm.r,SUMPRODUCT((ISNUMBER(SEARCH($C56,$C$6:$C$55)))*(BS$6:BS$55)/(LEN($C$6:$C$55)-LEN(SUBSTITUTE($C$6:$C$55,CHAR(10),""))+1)),
IF(_xlpm.r=0,"",_xlpm.r)
))</f>
        <v/>
      </c>
      <c r="BT56" s="61" t="str" cm="1">
        <f t="array" ref="BT56">IF($C56="","",_xlfn.LET(
_xlpm.r,SUMPRODUCT((ISNUMBER(SEARCH($C56,$C$6:$C$55)))*(BT$6:BT$55)/(LEN($C$6:$C$55)-LEN(SUBSTITUTE($C$6:$C$55,CHAR(10),""))+1)),
IF(_xlpm.r=0,"",_xlpm.r)
))</f>
        <v/>
      </c>
      <c r="BU56" s="61" t="str" cm="1">
        <f t="array" ref="BU56">IF($C56="","",_xlfn.LET(
_xlpm.r,SUMPRODUCT((ISNUMBER(SEARCH($C56,$C$6:$C$55)))*(BU$6:BU$55)/(LEN($C$6:$C$55)-LEN(SUBSTITUTE($C$6:$C$55,CHAR(10),""))+1)),
IF(_xlpm.r=0,"",_xlpm.r)
))</f>
        <v/>
      </c>
      <c r="BV56" s="61" t="str" cm="1">
        <f t="array" ref="BV56">IF($C56="","",_xlfn.LET(
_xlpm.r,SUMPRODUCT((ISNUMBER(SEARCH($C56,$C$6:$C$55)))*(BV$6:BV$55)/(LEN($C$6:$C$55)-LEN(SUBSTITUTE($C$6:$C$55,CHAR(10),""))+1)),
IF(_xlpm.r=0,"",_xlpm.r)
))</f>
        <v/>
      </c>
      <c r="BW56" s="61" t="str" cm="1">
        <f t="array" ref="BW56">IF($C56="","",_xlfn.LET(
_xlpm.r,SUMPRODUCT((ISNUMBER(SEARCH($C56,$C$6:$C$55)))*(BW$6:BW$55)/(LEN($C$6:$C$55)-LEN(SUBSTITUTE($C$6:$C$55,CHAR(10),""))+1)),
IF(_xlpm.r=0,"",_xlpm.r)
))</f>
        <v/>
      </c>
      <c r="BX56" s="61" t="str" cm="1">
        <f t="array" ref="BX56">IF($C56="","",_xlfn.LET(
_xlpm.r,SUMPRODUCT((ISNUMBER(SEARCH($C56,$C$6:$C$55)))*(BX$6:BX$55)/(LEN($C$6:$C$55)-LEN(SUBSTITUTE($C$6:$C$55,CHAR(10),""))+1)),
IF(_xlpm.r=0,"",_xlpm.r)
))</f>
        <v/>
      </c>
      <c r="BY56" s="61" t="str" cm="1">
        <f t="array" ref="BY56">IF($C56="","",_xlfn.LET(
_xlpm.r,SUMPRODUCT((ISNUMBER(SEARCH($C56,$C$6:$C$55)))*(BY$6:BY$55)/(LEN($C$6:$C$55)-LEN(SUBSTITUTE($C$6:$C$55,CHAR(10),""))+1)),
IF(_xlpm.r=0,"",_xlpm.r)
))</f>
        <v/>
      </c>
      <c r="BZ56" s="61" t="str" cm="1">
        <f t="array" ref="BZ56">IF($C56="","",_xlfn.LET(
_xlpm.r,SUMPRODUCT((ISNUMBER(SEARCH($C56,$C$6:$C$55)))*(BZ$6:BZ$55)/(LEN($C$6:$C$55)-LEN(SUBSTITUTE($C$6:$C$55,CHAR(10),""))+1)),
IF(_xlpm.r=0,"",_xlpm.r)
))</f>
        <v/>
      </c>
      <c r="CA56" s="61" t="str" cm="1">
        <f t="array" ref="CA56">IF($C56="","",_xlfn.LET(
_xlpm.r,SUMPRODUCT((ISNUMBER(SEARCH($C56,$C$6:$C$55)))*(CA$6:CA$55)/(LEN($C$6:$C$55)-LEN(SUBSTITUTE($C$6:$C$55,CHAR(10),""))+1)),
IF(_xlpm.r=0,"",_xlpm.r)
))</f>
        <v/>
      </c>
      <c r="CB56" s="61" t="str" cm="1">
        <f t="array" ref="CB56">IF($C56="","",_xlfn.LET(
_xlpm.r,SUMPRODUCT((ISNUMBER(SEARCH($C56,$C$6:$C$55)))*(CB$6:CB$55)/(LEN($C$6:$C$55)-LEN(SUBSTITUTE($C$6:$C$55,CHAR(10),""))+1)),
IF(_xlpm.r=0,"",_xlpm.r)
))</f>
        <v/>
      </c>
      <c r="CC56" s="61" t="str" cm="1">
        <f t="array" ref="CC56">IF($C56="","",_xlfn.LET(
_xlpm.r,SUMPRODUCT((ISNUMBER(SEARCH($C56,$C$6:$C$55)))*(CC$6:CC$55)/(LEN($C$6:$C$55)-LEN(SUBSTITUTE($C$6:$C$55,CHAR(10),""))+1)),
IF(_xlpm.r=0,"",_xlpm.r)
))</f>
        <v/>
      </c>
      <c r="CD56" s="61" t="str" cm="1">
        <f t="array" ref="CD56">IF($C56="","",_xlfn.LET(
_xlpm.r,SUMPRODUCT((ISNUMBER(SEARCH($C56,$C$6:$C$55)))*(CD$6:CD$55)/(LEN($C$6:$C$55)-LEN(SUBSTITUTE($C$6:$C$55,CHAR(10),""))+1)),
IF(_xlpm.r=0,"",_xlpm.r)
))</f>
        <v/>
      </c>
      <c r="CE56" s="61" t="str" cm="1">
        <f t="array" ref="CE56">IF($C56="","",_xlfn.LET(
_xlpm.r,SUMPRODUCT((ISNUMBER(SEARCH($C56,$C$6:$C$55)))*(CE$6:CE$55)/(LEN($C$6:$C$55)-LEN(SUBSTITUTE($C$6:$C$55,CHAR(10),""))+1)),
IF(_xlpm.r=0,"",_xlpm.r)
))</f>
        <v/>
      </c>
      <c r="CF56" s="61" t="str" cm="1">
        <f t="array" ref="CF56">IF($C56="","",_xlfn.LET(
_xlpm.r,SUMPRODUCT((ISNUMBER(SEARCH($C56,$C$6:$C$55)))*(CF$6:CF$55)/(LEN($C$6:$C$55)-LEN(SUBSTITUTE($C$6:$C$55,CHAR(10),""))+1)),
IF(_xlpm.r=0,"",_xlpm.r)
))</f>
        <v/>
      </c>
      <c r="CG56" s="61" t="str" cm="1">
        <f t="array" ref="CG56">IF($C56="","",_xlfn.LET(
_xlpm.r,SUMPRODUCT((ISNUMBER(SEARCH($C56,$C$6:$C$55)))*(CG$6:CG$55)/(LEN($C$6:$C$55)-LEN(SUBSTITUTE($C$6:$C$55,CHAR(10),""))+1)),
IF(_xlpm.r=0,"",_xlpm.r)
))</f>
        <v/>
      </c>
      <c r="CH56" s="61" t="str" cm="1">
        <f t="array" ref="CH56">IF($C56="","",_xlfn.LET(
_xlpm.r,SUMPRODUCT((ISNUMBER(SEARCH($C56,$C$6:$C$55)))*(CH$6:CH$55)/(LEN($C$6:$C$55)-LEN(SUBSTITUTE($C$6:$C$55,CHAR(10),""))+1)),
IF(_xlpm.r=0,"",_xlpm.r)
))</f>
        <v/>
      </c>
      <c r="CI56" s="61" t="str" cm="1">
        <f t="array" ref="CI56">IF($C56="","",_xlfn.LET(
_xlpm.r,SUMPRODUCT((ISNUMBER(SEARCH($C56,$C$6:$C$55)))*(CI$6:CI$55)/(LEN($C$6:$C$55)-LEN(SUBSTITUTE($C$6:$C$55,CHAR(10),""))+1)),
IF(_xlpm.r=0,"",_xlpm.r)
))</f>
        <v/>
      </c>
      <c r="CJ56" s="61" t="str" cm="1">
        <f t="array" ref="CJ56">IF($C56="","",_xlfn.LET(
_xlpm.r,SUMPRODUCT((ISNUMBER(SEARCH($C56,$C$6:$C$55)))*(CJ$6:CJ$55)/(LEN($C$6:$C$55)-LEN(SUBSTITUTE($C$6:$C$55,CHAR(10),""))+1)),
IF(_xlpm.r=0,"",_xlpm.r)
))</f>
        <v/>
      </c>
      <c r="CK56" s="61" t="str" cm="1">
        <f t="array" ref="CK56">IF($C56="","",_xlfn.LET(
_xlpm.r,SUMPRODUCT((ISNUMBER(SEARCH($C56,$C$6:$C$55)))*(CK$6:CK$55)/(LEN($C$6:$C$55)-LEN(SUBSTITUTE($C$6:$C$55,CHAR(10),""))+1)),
IF(_xlpm.r=0,"",_xlpm.r)
))</f>
        <v/>
      </c>
      <c r="CL56" s="61" t="str" cm="1">
        <f t="array" ref="CL56">IF($C56="","",_xlfn.LET(
_xlpm.r,SUMPRODUCT((ISNUMBER(SEARCH($C56,$C$6:$C$55)))*(CL$6:CL$55)/(LEN($C$6:$C$55)-LEN(SUBSTITUTE($C$6:$C$55,CHAR(10),""))+1)),
IF(_xlpm.r=0,"",_xlpm.r)
))</f>
        <v/>
      </c>
      <c r="CM56" s="61" t="str" cm="1">
        <f t="array" ref="CM56">IF($C56="","",_xlfn.LET(
_xlpm.r,SUMPRODUCT((ISNUMBER(SEARCH($C56,$C$6:$C$55)))*(CM$6:CM$55)/(LEN($C$6:$C$55)-LEN(SUBSTITUTE($C$6:$C$55,CHAR(10),""))+1)),
IF(_xlpm.r=0,"",_xlpm.r)
))</f>
        <v/>
      </c>
      <c r="CN56" s="61" t="str" cm="1">
        <f t="array" ref="CN56">IF($C56="","",_xlfn.LET(
_xlpm.r,SUMPRODUCT((ISNUMBER(SEARCH($C56,$C$6:$C$55)))*(CN$6:CN$55)/(LEN($C$6:$C$55)-LEN(SUBSTITUTE($C$6:$C$55,CHAR(10),""))+1)),
IF(_xlpm.r=0,"",_xlpm.r)
))</f>
        <v/>
      </c>
      <c r="CO56" s="61" t="str" cm="1">
        <f t="array" ref="CO56">IF($C56="","",_xlfn.LET(
_xlpm.r,SUMPRODUCT((ISNUMBER(SEARCH($C56,$C$6:$C$55)))*(CO$6:CO$55)/(LEN($C$6:$C$55)-LEN(SUBSTITUTE($C$6:$C$55,CHAR(10),""))+1)),
IF(_xlpm.r=0,"",_xlpm.r)
))</f>
        <v/>
      </c>
      <c r="CP56" s="61" t="str" cm="1">
        <f t="array" ref="CP56">IF($C56="","",_xlfn.LET(
_xlpm.r,SUMPRODUCT((ISNUMBER(SEARCH($C56,$C$6:$C$55)))*(CP$6:CP$55)/(LEN($C$6:$C$55)-LEN(SUBSTITUTE($C$6:$C$55,CHAR(10),""))+1)),
IF(_xlpm.r=0,"",_xlpm.r)
))</f>
        <v/>
      </c>
      <c r="CQ56" s="61" t="str" cm="1">
        <f t="array" ref="CQ56">IF($C56="","",_xlfn.LET(
_xlpm.r,SUMPRODUCT((ISNUMBER(SEARCH($C56,$C$6:$C$55)))*(CQ$6:CQ$55)/(LEN($C$6:$C$55)-LEN(SUBSTITUTE($C$6:$C$55,CHAR(10),""))+1)),
IF(_xlpm.r=0,"",_xlpm.r)
))</f>
        <v/>
      </c>
      <c r="CR56" s="61" t="str" cm="1">
        <f t="array" ref="CR56">IF($C56="","",_xlfn.LET(
_xlpm.r,SUMPRODUCT((ISNUMBER(SEARCH($C56,$C$6:$C$55)))*(CR$6:CR$55)/(LEN($C$6:$C$55)-LEN(SUBSTITUTE($C$6:$C$55,CHAR(10),""))+1)),
IF(_xlpm.r=0,"",_xlpm.r)
))</f>
        <v/>
      </c>
      <c r="CS56" s="61" t="str" cm="1">
        <f t="array" ref="CS56">IF($C56="","",_xlfn.LET(
_xlpm.r,SUMPRODUCT((ISNUMBER(SEARCH($C56,$C$6:$C$55)))*(CS$6:CS$55)/(LEN($C$6:$C$55)-LEN(SUBSTITUTE($C$6:$C$55,CHAR(10),""))+1)),
IF(_xlpm.r=0,"",_xlpm.r)
))</f>
        <v/>
      </c>
      <c r="CT56" s="61" t="str" cm="1">
        <f t="array" ref="CT56">IF($C56="","",_xlfn.LET(
_xlpm.r,SUMPRODUCT((ISNUMBER(SEARCH($C56,$C$6:$C$55)))*(CT$6:CT$55)/(LEN($C$6:$C$55)-LEN(SUBSTITUTE($C$6:$C$55,CHAR(10),""))+1)),
IF(_xlpm.r=0,"",_xlpm.r)
))</f>
        <v/>
      </c>
      <c r="CU56" s="61" t="str" cm="1">
        <f t="array" ref="CU56">IF($C56="","",_xlfn.LET(
_xlpm.r,SUMPRODUCT((ISNUMBER(SEARCH($C56,$C$6:$C$55)))*(CU$6:CU$55)/(LEN($C$6:$C$55)-LEN(SUBSTITUTE($C$6:$C$55,CHAR(10),""))+1)),
IF(_xlpm.r=0,"",_xlpm.r)
))</f>
        <v/>
      </c>
      <c r="CV56" s="61" t="str" cm="1">
        <f t="array" ref="CV56">IF($C56="","",_xlfn.LET(
_xlpm.r,SUMPRODUCT((ISNUMBER(SEARCH($C56,$C$6:$C$55)))*(CV$6:CV$55)/(LEN($C$6:$C$55)-LEN(SUBSTITUTE($C$6:$C$55,CHAR(10),""))+1)),
IF(_xlpm.r=0,"",_xlpm.r)
))</f>
        <v/>
      </c>
      <c r="CW56" s="61" t="str" cm="1">
        <f t="array" ref="CW56">IF($C56="","",_xlfn.LET(
_xlpm.r,SUMPRODUCT((ISNUMBER(SEARCH($C56,$C$6:$C$55)))*(CW$6:CW$55)/(LEN($C$6:$C$55)-LEN(SUBSTITUTE($C$6:$C$55,CHAR(10),""))+1)),
IF(_xlpm.r=0,"",_xlpm.r)
))</f>
        <v/>
      </c>
      <c r="CX56" s="61" t="str" cm="1">
        <f t="array" ref="CX56">IF($C56="","",_xlfn.LET(
_xlpm.r,SUMPRODUCT((ISNUMBER(SEARCH($C56,$C$6:$C$55)))*(CX$6:CX$55)/(LEN($C$6:$C$55)-LEN(SUBSTITUTE($C$6:$C$55,CHAR(10),""))+1)),
IF(_xlpm.r=0,"",_xlpm.r)
))</f>
        <v/>
      </c>
      <c r="CY56" s="61" t="str" cm="1">
        <f t="array" ref="CY56">IF($C56="","",_xlfn.LET(
_xlpm.r,SUMPRODUCT((ISNUMBER(SEARCH($C56,$C$6:$C$55)))*(CY$6:CY$55)/(LEN($C$6:$C$55)-LEN(SUBSTITUTE($C$6:$C$55,CHAR(10),""))+1)),
IF(_xlpm.r=0,"",_xlpm.r)
))</f>
        <v/>
      </c>
      <c r="CZ56" s="61" t="str" cm="1">
        <f t="array" ref="CZ56">IF($C56="","",_xlfn.LET(
_xlpm.r,SUMPRODUCT((ISNUMBER(SEARCH($C56,$C$6:$C$55)))*(CZ$6:CZ$55)/(LEN($C$6:$C$55)-LEN(SUBSTITUTE($C$6:$C$55,CHAR(10),""))+1)),
IF(_xlpm.r=0,"",_xlpm.r)
))</f>
        <v/>
      </c>
      <c r="DA56" s="61" t="str" cm="1">
        <f t="array" ref="DA56">IF($C56="","",_xlfn.LET(
_xlpm.r,SUMPRODUCT((ISNUMBER(SEARCH($C56,$C$6:$C$55)))*(DA$6:DA$55)/(LEN($C$6:$C$55)-LEN(SUBSTITUTE($C$6:$C$55,CHAR(10),""))+1)),
IF(_xlpm.r=0,"",_xlpm.r)
))</f>
        <v/>
      </c>
      <c r="DB56" s="61" t="str" cm="1">
        <f t="array" ref="DB56">IF($C56="","",_xlfn.LET(
_xlpm.r,SUMPRODUCT((ISNUMBER(SEARCH($C56,$C$6:$C$55)))*(DB$6:DB$55)/(LEN($C$6:$C$55)-LEN(SUBSTITUTE($C$6:$C$55,CHAR(10),""))+1)),
IF(_xlpm.r=0,"",_xlpm.r)
))</f>
        <v/>
      </c>
      <c r="DC56" s="61" t="str" cm="1">
        <f t="array" ref="DC56">IF($C56="","",_xlfn.LET(
_xlpm.r,SUMPRODUCT((ISNUMBER(SEARCH($C56,$C$6:$C$55)))*(DC$6:DC$55)/(LEN($C$6:$C$55)-LEN(SUBSTITUTE($C$6:$C$55,CHAR(10),""))+1)),
IF(_xlpm.r=0,"",_xlpm.r)
))</f>
        <v/>
      </c>
      <c r="DD56" s="61" t="str" cm="1">
        <f t="array" ref="DD56">IF($C56="","",_xlfn.LET(
_xlpm.r,SUMPRODUCT((ISNUMBER(SEARCH($C56,$C$6:$C$55)))*(DD$6:DD$55)/(LEN($C$6:$C$55)-LEN(SUBSTITUTE($C$6:$C$55,CHAR(10),""))+1)),
IF(_xlpm.r=0,"",_xlpm.r)
))</f>
        <v/>
      </c>
    </row>
    <row r="57" spans="1:112" x14ac:dyDescent="0.3">
      <c r="C57" s="3" t="s">
        <v>65</v>
      </c>
      <c r="D57" s="44"/>
      <c r="E57" s="56" t="str" cm="1">
        <f t="array" ref="E57">IF($C57="","",_xlfn.LET(
_xlpm.r,SUMPRODUCT((ISNUMBER(SEARCH($C57,$C$6:$C$55)))*(E$6:E$55)/(LEN($C$6:$C$55)-LEN(SUBSTITUTE($C$6:$C$55,CHAR(10),""))+1)),
IF(_xlpm.r=0,"",_xlpm.r)
))</f>
        <v/>
      </c>
      <c r="F57" s="56" cm="1">
        <f t="array" ref="F57">IF($C57="","",_xlfn.LET(
_xlpm.r,SUMPRODUCT((ISNUMBER(SEARCH($C57,$C$6:$C$55)))*(F$6:F$55)/(LEN($C$6:$C$55)-LEN(SUBSTITUTE($C$6:$C$55,CHAR(10),""))+1)),
IF(_xlpm.r=0,"",_xlpm.r)
))</f>
        <v>1</v>
      </c>
      <c r="G57" s="56" cm="1">
        <f t="array" ref="G57">IF($C57="","",_xlfn.LET(
_xlpm.r,SUMPRODUCT((ISNUMBER(SEARCH($C57,$C$6:$C$55)))*(G$6:G$55)/(LEN($C$6:$C$55)-LEN(SUBSTITUTE($C$6:$C$55,CHAR(10),""))+1)),
IF(_xlpm.r=0,"",_xlpm.r)
))</f>
        <v>2.95</v>
      </c>
      <c r="H57" s="56" cm="1">
        <f t="array" ref="H57">IF($C57="","",_xlfn.LET(
_xlpm.r,SUMPRODUCT((ISNUMBER(SEARCH($C57,$C$6:$C$55)))*(H$6:H$55)/(LEN($C$6:$C$55)-LEN(SUBSTITUTE($C$6:$C$55,CHAR(10),""))+1)),
IF(_xlpm.r=0,"",_xlpm.r)
))</f>
        <v>4.5</v>
      </c>
      <c r="I57" s="56" cm="1">
        <f t="array" ref="I57">IF($C57="","",_xlfn.LET(
_xlpm.r,SUMPRODUCT((ISNUMBER(SEARCH($C57,$C$6:$C$55)))*(I$6:I$55)/(LEN($C$6:$C$55)-LEN(SUBSTITUTE($C$6:$C$55,CHAR(10),""))+1)),
IF(_xlpm.r=0,"",_xlpm.r)
))</f>
        <v>2</v>
      </c>
      <c r="J57" s="56" t="str" cm="1">
        <f t="array" ref="J57">IF($C57="","",_xlfn.LET(
_xlpm.r,SUMPRODUCT((ISNUMBER(SEARCH($C57,$C$6:$C$55)))*(J$6:J$55)/(LEN($C$6:$C$55)-LEN(SUBSTITUTE($C$6:$C$55,CHAR(10),""))+1)),
IF(_xlpm.r=0,"",_xlpm.r)
))</f>
        <v/>
      </c>
      <c r="K57" s="56" cm="1">
        <f t="array" ref="K57">IF($C57="","",_xlfn.LET(
_xlpm.r,SUMPRODUCT((ISNUMBER(SEARCH($C57,$C$6:$C$55)))*(K$6:K$55)/(LEN($C$6:$C$55)-LEN(SUBSTITUTE($C$6:$C$55,CHAR(10),""))+1)),
IF(_xlpm.r=0,"",_xlpm.r)
))</f>
        <v>11.7</v>
      </c>
      <c r="L57" s="56" cm="1">
        <f t="array" ref="L57">IF($C57="","",_xlfn.LET(
_xlpm.r,SUMPRODUCT((ISNUMBER(SEARCH($C57,$C$6:$C$55)))*(L$6:L$55)/(LEN($C$6:$C$55)-LEN(SUBSTITUTE($C$6:$C$55,CHAR(10),""))+1)),
IF(_xlpm.r=0,"",_xlpm.r)
))</f>
        <v>3.95</v>
      </c>
      <c r="M57" s="56" cm="1">
        <f t="array" ref="M57">IF($C57="","",_xlfn.LET(
_xlpm.r,SUMPRODUCT((ISNUMBER(SEARCH($C57,$C$6:$C$55)))*(M$6:M$55)/(LEN($C$6:$C$55)-LEN(SUBSTITUTE($C$6:$C$55,CHAR(10),""))+1)),
IF(_xlpm.r=0,"",_xlpm.r)
))</f>
        <v>8.4499999999999993</v>
      </c>
      <c r="N57" s="56" t="str" cm="1">
        <f t="array" ref="N57">IF($C57="","",_xlfn.LET(
_xlpm.r,SUMPRODUCT((ISNUMBER(SEARCH($C57,$C$6:$C$55)))*(N$6:N$55)/(LEN($C$6:$C$55)-LEN(SUBSTITUTE($C$6:$C$55,CHAR(10),""))+1)),
IF(_xlpm.r=0,"",_xlpm.r)
))</f>
        <v/>
      </c>
      <c r="O57" s="56" t="str" cm="1">
        <f t="array" ref="O57">IF($C57="","",_xlfn.LET(
_xlpm.r,SUMPRODUCT((ISNUMBER(SEARCH($C57,$C$6:$C$55)))*(O$6:O$55)/(LEN($C$6:$C$55)-LEN(SUBSTITUTE($C$6:$C$55,CHAR(10),""))+1)),
IF(_xlpm.r=0,"",_xlpm.r)
))</f>
        <v/>
      </c>
      <c r="P57" s="56" cm="1">
        <f t="array" ref="P57">IF($C57="","",_xlfn.LET(
_xlpm.r,SUMPRODUCT((ISNUMBER(SEARCH($C57,$C$6:$C$55)))*(P$6:P$55)/(LEN($C$6:$C$55)-LEN(SUBSTITUTE($C$6:$C$55,CHAR(10),""))+1)),
IF(_xlpm.r=0,"",_xlpm.r)
))</f>
        <v>2.5</v>
      </c>
      <c r="Q57" s="56" cm="1">
        <f t="array" ref="Q57">IF($C57="","",_xlfn.LET(
_xlpm.r,SUMPRODUCT((ISNUMBER(SEARCH($C57,$C$6:$C$55)))*(Q$6:Q$55)/(LEN($C$6:$C$55)-LEN(SUBSTITUTE($C$6:$C$55,CHAR(10),""))+1)),
IF(_xlpm.r=0,"",_xlpm.r)
))</f>
        <v>2.75</v>
      </c>
      <c r="R57" s="56" cm="1">
        <f t="array" ref="R57">IF($C57="","",_xlfn.LET(
_xlpm.r,SUMPRODUCT((ISNUMBER(SEARCH($C57,$C$6:$C$55)))*(R$6:R$55)/(LEN($C$6:$C$55)-LEN(SUBSTITUTE($C$6:$C$55,CHAR(10),""))+1)),
IF(_xlpm.r=0,"",_xlpm.r)
))</f>
        <v>10.5</v>
      </c>
      <c r="S57" s="56" cm="1">
        <f t="array" ref="S57">IF($C57="","",_xlfn.LET(
_xlpm.r,SUMPRODUCT((ISNUMBER(SEARCH($C57,$C$6:$C$55)))*(S$6:S$55)/(LEN($C$6:$C$55)-LEN(SUBSTITUTE($C$6:$C$55,CHAR(10),""))+1)),
IF(_xlpm.r=0,"",_xlpm.r)
))</f>
        <v>2.5</v>
      </c>
      <c r="T57" s="56" cm="1">
        <f t="array" ref="T57">IF($C57="","",_xlfn.LET(
_xlpm.r,SUMPRODUCT((ISNUMBER(SEARCH($C57,$C$6:$C$55)))*(T$6:T$55)/(LEN($C$6:$C$55)-LEN(SUBSTITUTE($C$6:$C$55,CHAR(10),""))+1)),
IF(_xlpm.r=0,"",_xlpm.r)
))</f>
        <v>6</v>
      </c>
      <c r="U57" s="56" t="str" cm="1">
        <f t="array" ref="U57">IF($C57="","",_xlfn.LET(
_xlpm.r,SUMPRODUCT((ISNUMBER(SEARCH($C57,$C$6:$C$55)))*(U$6:U$55)/(LEN($C$6:$C$55)-LEN(SUBSTITUTE($C$6:$C$55,CHAR(10),""))+1)),
IF(_xlpm.r=0,"",_xlpm.r)
))</f>
        <v/>
      </c>
      <c r="V57" s="56" t="str" cm="1">
        <f t="array" ref="V57">IF($C57="","",_xlfn.LET(
_xlpm.r,SUMPRODUCT((ISNUMBER(SEARCH($C57,$C$6:$C$55)))*(V$6:V$55)/(LEN($C$6:$C$55)-LEN(SUBSTITUTE($C$6:$C$55,CHAR(10),""))+1)),
IF(_xlpm.r=0,"",_xlpm.r)
))</f>
        <v/>
      </c>
      <c r="W57" s="56" t="str" cm="1">
        <f t="array" ref="W57">IF($C57="","",_xlfn.LET(
_xlpm.r,SUMPRODUCT((ISNUMBER(SEARCH($C57,$C$6:$C$55)))*(W$6:W$55)/(LEN($C$6:$C$55)-LEN(SUBSTITUTE($C$6:$C$55,CHAR(10),""))+1)),
IF(_xlpm.r=0,"",_xlpm.r)
))</f>
        <v/>
      </c>
      <c r="X57" s="56" t="str" cm="1">
        <f t="array" ref="X57">IF($C57="","",_xlfn.LET(
_xlpm.r,SUMPRODUCT((ISNUMBER(SEARCH($C57,$C$6:$C$55)))*(X$6:X$55)/(LEN($C$6:$C$55)-LEN(SUBSTITUTE($C$6:$C$55,CHAR(10),""))+1)),
IF(_xlpm.r=0,"",_xlpm.r)
))</f>
        <v/>
      </c>
      <c r="Y57" s="56" t="str" cm="1">
        <f t="array" ref="Y57">IF($C57="","",_xlfn.LET(
_xlpm.r,SUMPRODUCT((ISNUMBER(SEARCH($C57,$C$6:$C$55)))*(Y$6:Y$55)/(LEN($C$6:$C$55)-LEN(SUBSTITUTE($C$6:$C$55,CHAR(10),""))+1)),
IF(_xlpm.r=0,"",_xlpm.r)
))</f>
        <v/>
      </c>
      <c r="Z57" s="56" t="str" cm="1">
        <f t="array" ref="Z57">IF($C57="","",_xlfn.LET(
_xlpm.r,SUMPRODUCT((ISNUMBER(SEARCH($C57,$C$6:$C$55)))*(Z$6:Z$55)/(LEN($C$6:$C$55)-LEN(SUBSTITUTE($C$6:$C$55,CHAR(10),""))+1)),
IF(_xlpm.r=0,"",_xlpm.r)
))</f>
        <v/>
      </c>
      <c r="AA57" s="56" t="str" cm="1">
        <f t="array" ref="AA57">IF($C57="","",_xlfn.LET(
_xlpm.r,SUMPRODUCT((ISNUMBER(SEARCH($C57,$C$6:$C$55)))*(AA$6:AA$55)/(LEN($C$6:$C$55)-LEN(SUBSTITUTE($C$6:$C$55,CHAR(10),""))+1)),
IF(_xlpm.r=0,"",_xlpm.r)
))</f>
        <v/>
      </c>
      <c r="AB57" s="56" t="str" cm="1">
        <f t="array" ref="AB57">IF($C57="","",_xlfn.LET(
_xlpm.r,SUMPRODUCT((ISNUMBER(SEARCH($C57,$C$6:$C$55)))*(AB$6:AB$55)/(LEN($C$6:$C$55)-LEN(SUBSTITUTE($C$6:$C$55,CHAR(10),""))+1)),
IF(_xlpm.r=0,"",_xlpm.r)
))</f>
        <v/>
      </c>
      <c r="AC57" s="56" t="str" cm="1">
        <f t="array" ref="AC57">IF($C57="","",_xlfn.LET(
_xlpm.r,SUMPRODUCT((ISNUMBER(SEARCH($C57,$C$6:$C$55)))*(AC$6:AC$55)/(LEN($C$6:$C$55)-LEN(SUBSTITUTE($C$6:$C$55,CHAR(10),""))+1)),
IF(_xlpm.r=0,"",_xlpm.r)
))</f>
        <v/>
      </c>
      <c r="AD57" s="56" t="str" cm="1">
        <f t="array" ref="AD57">IF($C57="","",_xlfn.LET(
_xlpm.r,SUMPRODUCT((ISNUMBER(SEARCH($C57,$C$6:$C$55)))*(AD$6:AD$55)/(LEN($C$6:$C$55)-LEN(SUBSTITUTE($C$6:$C$55,CHAR(10),""))+1)),
IF(_xlpm.r=0,"",_xlpm.r)
))</f>
        <v/>
      </c>
      <c r="AE57" s="56" t="str" cm="1">
        <f t="array" ref="AE57">IF($C57="","",_xlfn.LET(
_xlpm.r,SUMPRODUCT((ISNUMBER(SEARCH($C57,$C$6:$C$55)))*(AE$6:AE$55)/(LEN($C$6:$C$55)-LEN(SUBSTITUTE($C$6:$C$55,CHAR(10),""))+1)),
IF(_xlpm.r=0,"",_xlpm.r)
))</f>
        <v/>
      </c>
      <c r="AF57" s="56" t="str" cm="1">
        <f t="array" ref="AF57">IF($C57="","",_xlfn.LET(
_xlpm.r,SUMPRODUCT((ISNUMBER(SEARCH($C57,$C$6:$C$55)))*(AF$6:AF$55)/(LEN($C$6:$C$55)-LEN(SUBSTITUTE($C$6:$C$55,CHAR(10),""))+1)),
IF(_xlpm.r=0,"",_xlpm.r)
))</f>
        <v/>
      </c>
      <c r="AG57" s="56" t="str" cm="1">
        <f t="array" ref="AG57">IF($C57="","",_xlfn.LET(
_xlpm.r,SUMPRODUCT((ISNUMBER(SEARCH($C57,$C$6:$C$55)))*(AG$6:AG$55)/(LEN($C$6:$C$55)-LEN(SUBSTITUTE($C$6:$C$55,CHAR(10),""))+1)),
IF(_xlpm.r=0,"",_xlpm.r)
))</f>
        <v/>
      </c>
      <c r="AH57" s="56" t="str" cm="1">
        <f t="array" ref="AH57">IF($C57="","",_xlfn.LET(
_xlpm.r,SUMPRODUCT((ISNUMBER(SEARCH($C57,$C$6:$C$55)))*(AH$6:AH$55)/(LEN($C$6:$C$55)-LEN(SUBSTITUTE($C$6:$C$55,CHAR(10),""))+1)),
IF(_xlpm.r=0,"",_xlpm.r)
))</f>
        <v/>
      </c>
      <c r="AI57" s="56" t="str" cm="1">
        <f t="array" ref="AI57">IF($C57="","",_xlfn.LET(
_xlpm.r,SUMPRODUCT((ISNUMBER(SEARCH($C57,$C$6:$C$55)))*(AI$6:AI$55)/(LEN($C$6:$C$55)-LEN(SUBSTITUTE($C$6:$C$55,CHAR(10),""))+1)),
IF(_xlpm.r=0,"",_xlpm.r)
))</f>
        <v/>
      </c>
      <c r="AJ57" s="56" t="str" cm="1">
        <f t="array" ref="AJ57">IF($C57="","",_xlfn.LET(
_xlpm.r,SUMPRODUCT((ISNUMBER(SEARCH($C57,$C$6:$C$55)))*(AJ$6:AJ$55)/(LEN($C$6:$C$55)-LEN(SUBSTITUTE($C$6:$C$55,CHAR(10),""))+1)),
IF(_xlpm.r=0,"",_xlpm.r)
))</f>
        <v/>
      </c>
      <c r="AK57" s="56" t="str" cm="1">
        <f t="array" ref="AK57">IF($C57="","",_xlfn.LET(
_xlpm.r,SUMPRODUCT((ISNUMBER(SEARCH($C57,$C$6:$C$55)))*(AK$6:AK$55)/(LEN($C$6:$C$55)-LEN(SUBSTITUTE($C$6:$C$55,CHAR(10),""))+1)),
IF(_xlpm.r=0,"",_xlpm.r)
))</f>
        <v/>
      </c>
      <c r="AL57" s="56" t="str" cm="1">
        <f t="array" ref="AL57">IF($C57="","",_xlfn.LET(
_xlpm.r,SUMPRODUCT((ISNUMBER(SEARCH($C57,$C$6:$C$55)))*(AL$6:AL$55)/(LEN($C$6:$C$55)-LEN(SUBSTITUTE($C$6:$C$55,CHAR(10),""))+1)),
IF(_xlpm.r=0,"",_xlpm.r)
))</f>
        <v/>
      </c>
      <c r="AM57" s="56" t="str" cm="1">
        <f t="array" ref="AM57">IF($C57="","",_xlfn.LET(
_xlpm.r,SUMPRODUCT((ISNUMBER(SEARCH($C57,$C$6:$C$55)))*(AM$6:AM$55)/(LEN($C$6:$C$55)-LEN(SUBSTITUTE($C$6:$C$55,CHAR(10),""))+1)),
IF(_xlpm.r=0,"",_xlpm.r)
))</f>
        <v/>
      </c>
      <c r="AN57" s="56" t="str" cm="1">
        <f t="array" ref="AN57">IF($C57="","",_xlfn.LET(
_xlpm.r,SUMPRODUCT((ISNUMBER(SEARCH($C57,$C$6:$C$55)))*(AN$6:AN$55)/(LEN($C$6:$C$55)-LEN(SUBSTITUTE($C$6:$C$55,CHAR(10),""))+1)),
IF(_xlpm.r=0,"",_xlpm.r)
))</f>
        <v/>
      </c>
      <c r="AO57" s="56" t="str" cm="1">
        <f t="array" ref="AO57">IF($C57="","",_xlfn.LET(
_xlpm.r,SUMPRODUCT((ISNUMBER(SEARCH($C57,$C$6:$C$55)))*(AO$6:AO$55)/(LEN($C$6:$C$55)-LEN(SUBSTITUTE($C$6:$C$55,CHAR(10),""))+1)),
IF(_xlpm.r=0,"",_xlpm.r)
))</f>
        <v/>
      </c>
      <c r="AP57" s="56" t="str" cm="1">
        <f t="array" ref="AP57">IF($C57="","",_xlfn.LET(
_xlpm.r,SUMPRODUCT((ISNUMBER(SEARCH($C57,$C$6:$C$55)))*(AP$6:AP$55)/(LEN($C$6:$C$55)-LEN(SUBSTITUTE($C$6:$C$55,CHAR(10),""))+1)),
IF(_xlpm.r=0,"",_xlpm.r)
))</f>
        <v/>
      </c>
      <c r="AQ57" s="56" t="str" cm="1">
        <f t="array" ref="AQ57">IF($C57="","",_xlfn.LET(
_xlpm.r,SUMPRODUCT((ISNUMBER(SEARCH($C57,$C$6:$C$55)))*(AQ$6:AQ$55)/(LEN($C$6:$C$55)-LEN(SUBSTITUTE($C$6:$C$55,CHAR(10),""))+1)),
IF(_xlpm.r=0,"",_xlpm.r)
))</f>
        <v/>
      </c>
      <c r="AR57" s="56" t="str" cm="1">
        <f t="array" ref="AR57">IF($C57="","",_xlfn.LET(
_xlpm.r,SUMPRODUCT((ISNUMBER(SEARCH($C57,$C$6:$C$55)))*(AR$6:AR$55)/(LEN($C$6:$C$55)-LEN(SUBSTITUTE($C$6:$C$55,CHAR(10),""))+1)),
IF(_xlpm.r=0,"",_xlpm.r)
))</f>
        <v/>
      </c>
      <c r="AS57" s="56" t="str" cm="1">
        <f t="array" ref="AS57">IF($C57="","",_xlfn.LET(
_xlpm.r,SUMPRODUCT((ISNUMBER(SEARCH($C57,$C$6:$C$55)))*(AS$6:AS$55)/(LEN($C$6:$C$55)-LEN(SUBSTITUTE($C$6:$C$55,CHAR(10),""))+1)),
IF(_xlpm.r=0,"",_xlpm.r)
))</f>
        <v/>
      </c>
      <c r="AT57" s="56" t="str" cm="1">
        <f t="array" ref="AT57">IF($C57="","",_xlfn.LET(
_xlpm.r,SUMPRODUCT((ISNUMBER(SEARCH($C57,$C$6:$C$55)))*(AT$6:AT$55)/(LEN($C$6:$C$55)-LEN(SUBSTITUTE($C$6:$C$55,CHAR(10),""))+1)),
IF(_xlpm.r=0,"",_xlpm.r)
))</f>
        <v/>
      </c>
      <c r="AU57" s="56" t="str" cm="1">
        <f t="array" ref="AU57">IF($C57="","",_xlfn.LET(
_xlpm.r,SUMPRODUCT((ISNUMBER(SEARCH($C57,$C$6:$C$55)))*(AU$6:AU$55)/(LEN($C$6:$C$55)-LEN(SUBSTITUTE($C$6:$C$55,CHAR(10),""))+1)),
IF(_xlpm.r=0,"",_xlpm.r)
))</f>
        <v/>
      </c>
      <c r="AV57" s="56" t="str" cm="1">
        <f t="array" ref="AV57">IF($C57="","",_xlfn.LET(
_xlpm.r,SUMPRODUCT((ISNUMBER(SEARCH($C57,$C$6:$C$55)))*(AV$6:AV$55)/(LEN($C$6:$C$55)-LEN(SUBSTITUTE($C$6:$C$55,CHAR(10),""))+1)),
IF(_xlpm.r=0,"",_xlpm.r)
))</f>
        <v/>
      </c>
      <c r="AW57" s="56" t="str" cm="1">
        <f t="array" ref="AW57">IF($C57="","",_xlfn.LET(
_xlpm.r,SUMPRODUCT((ISNUMBER(SEARCH($C57,$C$6:$C$55)))*(AW$6:AW$55)/(LEN($C$6:$C$55)-LEN(SUBSTITUTE($C$6:$C$55,CHAR(10),""))+1)),
IF(_xlpm.r=0,"",_xlpm.r)
))</f>
        <v/>
      </c>
      <c r="AX57" s="56" t="str" cm="1">
        <f t="array" ref="AX57">IF($C57="","",_xlfn.LET(
_xlpm.r,SUMPRODUCT((ISNUMBER(SEARCH($C57,$C$6:$C$55)))*(AX$6:AX$55)/(LEN($C$6:$C$55)-LEN(SUBSTITUTE($C$6:$C$55,CHAR(10),""))+1)),
IF(_xlpm.r=0,"",_xlpm.r)
))</f>
        <v/>
      </c>
      <c r="AY57" s="56" t="str" cm="1">
        <f t="array" ref="AY57">IF($C57="","",_xlfn.LET(
_xlpm.r,SUMPRODUCT((ISNUMBER(SEARCH($C57,$C$6:$C$55)))*(AY$6:AY$55)/(LEN($C$6:$C$55)-LEN(SUBSTITUTE($C$6:$C$55,CHAR(10),""))+1)),
IF(_xlpm.r=0,"",_xlpm.r)
))</f>
        <v/>
      </c>
      <c r="AZ57" s="56" t="str" cm="1">
        <f t="array" ref="AZ57">IF($C57="","",_xlfn.LET(
_xlpm.r,SUMPRODUCT((ISNUMBER(SEARCH($C57,$C$6:$C$55)))*(AZ$6:AZ$55)/(LEN($C$6:$C$55)-LEN(SUBSTITUTE($C$6:$C$55,CHAR(10),""))+1)),
IF(_xlpm.r=0,"",_xlpm.r)
))</f>
        <v/>
      </c>
      <c r="BA57" s="56" t="str" cm="1">
        <f t="array" ref="BA57">IF($C57="","",_xlfn.LET(
_xlpm.r,SUMPRODUCT((ISNUMBER(SEARCH($C57,$C$6:$C$55)))*(BA$6:BA$55)/(LEN($C$6:$C$55)-LEN(SUBSTITUTE($C$6:$C$55,CHAR(10),""))+1)),
IF(_xlpm.r=0,"",_xlpm.r)
))</f>
        <v/>
      </c>
      <c r="BB57" s="56" t="str" cm="1">
        <f t="array" ref="BB57">IF($C57="","",_xlfn.LET(
_xlpm.r,SUMPRODUCT((ISNUMBER(SEARCH($C57,$C$6:$C$55)))*(BB$6:BB$55)/(LEN($C$6:$C$55)-LEN(SUBSTITUTE($C$6:$C$55,CHAR(10),""))+1)),
IF(_xlpm.r=0,"",_xlpm.r)
))</f>
        <v/>
      </c>
      <c r="BC57" s="56" t="str" cm="1">
        <f t="array" ref="BC57">IF($C57="","",_xlfn.LET(
_xlpm.r,SUMPRODUCT((ISNUMBER(SEARCH($C57,$C$6:$C$55)))*(BC$6:BC$55)/(LEN($C$6:$C$55)-LEN(SUBSTITUTE($C$6:$C$55,CHAR(10),""))+1)),
IF(_xlpm.r=0,"",_xlpm.r)
))</f>
        <v/>
      </c>
      <c r="BD57" s="56" t="str" cm="1">
        <f t="array" ref="BD57">IF($C57="","",_xlfn.LET(
_xlpm.r,SUMPRODUCT((ISNUMBER(SEARCH($C57,$C$6:$C$55)))*(BD$6:BD$55)/(LEN($C$6:$C$55)-LEN(SUBSTITUTE($C$6:$C$55,CHAR(10),""))+1)),
IF(_xlpm.r=0,"",_xlpm.r)
))</f>
        <v/>
      </c>
      <c r="BE57" s="56" t="str" cm="1">
        <f t="array" ref="BE57">IF($C57="","",_xlfn.LET(
_xlpm.r,SUMPRODUCT((ISNUMBER(SEARCH($C57,$C$6:$C$55)))*(BE$6:BE$55)/(LEN($C$6:$C$55)-LEN(SUBSTITUTE($C$6:$C$55,CHAR(10),""))+1)),
IF(_xlpm.r=0,"",_xlpm.r)
))</f>
        <v/>
      </c>
      <c r="BF57" s="56" t="str" cm="1">
        <f t="array" ref="BF57">IF($C57="","",_xlfn.LET(
_xlpm.r,SUMPRODUCT((ISNUMBER(SEARCH($C57,$C$6:$C$55)))*(BF$6:BF$55)/(LEN($C$6:$C$55)-LEN(SUBSTITUTE($C$6:$C$55,CHAR(10),""))+1)),
IF(_xlpm.r=0,"",_xlpm.r)
))</f>
        <v/>
      </c>
      <c r="BG57" s="56" t="str" cm="1">
        <f t="array" ref="BG57">IF($C57="","",_xlfn.LET(
_xlpm.r,SUMPRODUCT((ISNUMBER(SEARCH($C57,$C$6:$C$55)))*(BG$6:BG$55)/(LEN($C$6:$C$55)-LEN(SUBSTITUTE($C$6:$C$55,CHAR(10),""))+1)),
IF(_xlpm.r=0,"",_xlpm.r)
))</f>
        <v/>
      </c>
      <c r="BH57" s="56" t="str" cm="1">
        <f t="array" ref="BH57">IF($C57="","",_xlfn.LET(
_xlpm.r,SUMPRODUCT((ISNUMBER(SEARCH($C57,$C$6:$C$55)))*(BH$6:BH$55)/(LEN($C$6:$C$55)-LEN(SUBSTITUTE($C$6:$C$55,CHAR(10),""))+1)),
IF(_xlpm.r=0,"",_xlpm.r)
))</f>
        <v/>
      </c>
      <c r="BI57" s="56" t="str" cm="1">
        <f t="array" ref="BI57">IF($C57="","",_xlfn.LET(
_xlpm.r,SUMPRODUCT((ISNUMBER(SEARCH($C57,$C$6:$C$55)))*(BI$6:BI$55)/(LEN($C$6:$C$55)-LEN(SUBSTITUTE($C$6:$C$55,CHAR(10),""))+1)),
IF(_xlpm.r=0,"",_xlpm.r)
))</f>
        <v/>
      </c>
      <c r="BJ57" s="56" t="str" cm="1">
        <f t="array" ref="BJ57">IF($C57="","",_xlfn.LET(
_xlpm.r,SUMPRODUCT((ISNUMBER(SEARCH($C57,$C$6:$C$55)))*(BJ$6:BJ$55)/(LEN($C$6:$C$55)-LEN(SUBSTITUTE($C$6:$C$55,CHAR(10),""))+1)),
IF(_xlpm.r=0,"",_xlpm.r)
))</f>
        <v/>
      </c>
      <c r="BK57" s="56" t="str" cm="1">
        <f t="array" ref="BK57">IF($C57="","",_xlfn.LET(
_xlpm.r,SUMPRODUCT((ISNUMBER(SEARCH($C57,$C$6:$C$55)))*(BK$6:BK$55)/(LEN($C$6:$C$55)-LEN(SUBSTITUTE($C$6:$C$55,CHAR(10),""))+1)),
IF(_xlpm.r=0,"",_xlpm.r)
))</f>
        <v/>
      </c>
      <c r="BL57" s="56" t="str" cm="1">
        <f t="array" ref="BL57">IF($C57="","",_xlfn.LET(
_xlpm.r,SUMPRODUCT((ISNUMBER(SEARCH($C57,$C$6:$C$55)))*(BL$6:BL$55)/(LEN($C$6:$C$55)-LEN(SUBSTITUTE($C$6:$C$55,CHAR(10),""))+1)),
IF(_xlpm.r=0,"",_xlpm.r)
))</f>
        <v/>
      </c>
      <c r="BM57" s="56" t="str" cm="1">
        <f t="array" ref="BM57">IF($C57="","",_xlfn.LET(
_xlpm.r,SUMPRODUCT((ISNUMBER(SEARCH($C57,$C$6:$C$55)))*(BM$6:BM$55)/(LEN($C$6:$C$55)-LEN(SUBSTITUTE($C$6:$C$55,CHAR(10),""))+1)),
IF(_xlpm.r=0,"",_xlpm.r)
))</f>
        <v/>
      </c>
      <c r="BN57" s="56" t="str" cm="1">
        <f t="array" ref="BN57">IF($C57="","",_xlfn.LET(
_xlpm.r,SUMPRODUCT((ISNUMBER(SEARCH($C57,$C$6:$C$55)))*(BN$6:BN$55)/(LEN($C$6:$C$55)-LEN(SUBSTITUTE($C$6:$C$55,CHAR(10),""))+1)),
IF(_xlpm.r=0,"",_xlpm.r)
))</f>
        <v/>
      </c>
      <c r="BO57" s="56" t="str" cm="1">
        <f t="array" ref="BO57">IF($C57="","",_xlfn.LET(
_xlpm.r,SUMPRODUCT((ISNUMBER(SEARCH($C57,$C$6:$C$55)))*(BO$6:BO$55)/(LEN($C$6:$C$55)-LEN(SUBSTITUTE($C$6:$C$55,CHAR(10),""))+1)),
IF(_xlpm.r=0,"",_xlpm.r)
))</f>
        <v/>
      </c>
      <c r="BP57" s="56" t="str" cm="1">
        <f t="array" ref="BP57">IF($C57="","",_xlfn.LET(
_xlpm.r,SUMPRODUCT((ISNUMBER(SEARCH($C57,$C$6:$C$55)))*(BP$6:BP$55)/(LEN($C$6:$C$55)-LEN(SUBSTITUTE($C$6:$C$55,CHAR(10),""))+1)),
IF(_xlpm.r=0,"",_xlpm.r)
))</f>
        <v/>
      </c>
      <c r="BQ57" s="56" t="str" cm="1">
        <f t="array" ref="BQ57">IF($C57="","",_xlfn.LET(
_xlpm.r,SUMPRODUCT((ISNUMBER(SEARCH($C57,$C$6:$C$55)))*(BQ$6:BQ$55)/(LEN($C$6:$C$55)-LEN(SUBSTITUTE($C$6:$C$55,CHAR(10),""))+1)),
IF(_xlpm.r=0,"",_xlpm.r)
))</f>
        <v/>
      </c>
      <c r="BR57" s="56" t="str" cm="1">
        <f t="array" ref="BR57">IF($C57="","",_xlfn.LET(
_xlpm.r,SUMPRODUCT((ISNUMBER(SEARCH($C57,$C$6:$C$55)))*(BR$6:BR$55)/(LEN($C$6:$C$55)-LEN(SUBSTITUTE($C$6:$C$55,CHAR(10),""))+1)),
IF(_xlpm.r=0,"",_xlpm.r)
))</f>
        <v/>
      </c>
      <c r="BS57" s="56" t="str" cm="1">
        <f t="array" ref="BS57">IF($C57="","",_xlfn.LET(
_xlpm.r,SUMPRODUCT((ISNUMBER(SEARCH($C57,$C$6:$C$55)))*(BS$6:BS$55)/(LEN($C$6:$C$55)-LEN(SUBSTITUTE($C$6:$C$55,CHAR(10),""))+1)),
IF(_xlpm.r=0,"",_xlpm.r)
))</f>
        <v/>
      </c>
      <c r="BT57" s="56" t="str" cm="1">
        <f t="array" ref="BT57">IF($C57="","",_xlfn.LET(
_xlpm.r,SUMPRODUCT((ISNUMBER(SEARCH($C57,$C$6:$C$55)))*(BT$6:BT$55)/(LEN($C$6:$C$55)-LEN(SUBSTITUTE($C$6:$C$55,CHAR(10),""))+1)),
IF(_xlpm.r=0,"",_xlpm.r)
))</f>
        <v/>
      </c>
      <c r="BU57" s="56" t="str" cm="1">
        <f t="array" ref="BU57">IF($C57="","",_xlfn.LET(
_xlpm.r,SUMPRODUCT((ISNUMBER(SEARCH($C57,$C$6:$C$55)))*(BU$6:BU$55)/(LEN($C$6:$C$55)-LEN(SUBSTITUTE($C$6:$C$55,CHAR(10),""))+1)),
IF(_xlpm.r=0,"",_xlpm.r)
))</f>
        <v/>
      </c>
      <c r="BV57" s="56" t="str" cm="1">
        <f t="array" ref="BV57">IF($C57="","",_xlfn.LET(
_xlpm.r,SUMPRODUCT((ISNUMBER(SEARCH($C57,$C$6:$C$55)))*(BV$6:BV$55)/(LEN($C$6:$C$55)-LEN(SUBSTITUTE($C$6:$C$55,CHAR(10),""))+1)),
IF(_xlpm.r=0,"",_xlpm.r)
))</f>
        <v/>
      </c>
      <c r="BW57" s="56" t="str" cm="1">
        <f t="array" ref="BW57">IF($C57="","",_xlfn.LET(
_xlpm.r,SUMPRODUCT((ISNUMBER(SEARCH($C57,$C$6:$C$55)))*(BW$6:BW$55)/(LEN($C$6:$C$55)-LEN(SUBSTITUTE($C$6:$C$55,CHAR(10),""))+1)),
IF(_xlpm.r=0,"",_xlpm.r)
))</f>
        <v/>
      </c>
      <c r="BX57" s="56" t="str" cm="1">
        <f t="array" ref="BX57">IF($C57="","",_xlfn.LET(
_xlpm.r,SUMPRODUCT((ISNUMBER(SEARCH($C57,$C$6:$C$55)))*(BX$6:BX$55)/(LEN($C$6:$C$55)-LEN(SUBSTITUTE($C$6:$C$55,CHAR(10),""))+1)),
IF(_xlpm.r=0,"",_xlpm.r)
))</f>
        <v/>
      </c>
      <c r="BY57" s="56" t="str" cm="1">
        <f t="array" ref="BY57">IF($C57="","",_xlfn.LET(
_xlpm.r,SUMPRODUCT((ISNUMBER(SEARCH($C57,$C$6:$C$55)))*(BY$6:BY$55)/(LEN($C$6:$C$55)-LEN(SUBSTITUTE($C$6:$C$55,CHAR(10),""))+1)),
IF(_xlpm.r=0,"",_xlpm.r)
))</f>
        <v/>
      </c>
      <c r="BZ57" s="56" t="str" cm="1">
        <f t="array" ref="BZ57">IF($C57="","",_xlfn.LET(
_xlpm.r,SUMPRODUCT((ISNUMBER(SEARCH($C57,$C$6:$C$55)))*(BZ$6:BZ$55)/(LEN($C$6:$C$55)-LEN(SUBSTITUTE($C$6:$C$55,CHAR(10),""))+1)),
IF(_xlpm.r=0,"",_xlpm.r)
))</f>
        <v/>
      </c>
      <c r="CA57" s="56" t="str" cm="1">
        <f t="array" ref="CA57">IF($C57="","",_xlfn.LET(
_xlpm.r,SUMPRODUCT((ISNUMBER(SEARCH($C57,$C$6:$C$55)))*(CA$6:CA$55)/(LEN($C$6:$C$55)-LEN(SUBSTITUTE($C$6:$C$55,CHAR(10),""))+1)),
IF(_xlpm.r=0,"",_xlpm.r)
))</f>
        <v/>
      </c>
      <c r="CB57" s="56" t="str" cm="1">
        <f t="array" ref="CB57">IF($C57="","",_xlfn.LET(
_xlpm.r,SUMPRODUCT((ISNUMBER(SEARCH($C57,$C$6:$C$55)))*(CB$6:CB$55)/(LEN($C$6:$C$55)-LEN(SUBSTITUTE($C$6:$C$55,CHAR(10),""))+1)),
IF(_xlpm.r=0,"",_xlpm.r)
))</f>
        <v/>
      </c>
      <c r="CC57" s="56" t="str" cm="1">
        <f t="array" ref="CC57">IF($C57="","",_xlfn.LET(
_xlpm.r,SUMPRODUCT((ISNUMBER(SEARCH($C57,$C$6:$C$55)))*(CC$6:CC$55)/(LEN($C$6:$C$55)-LEN(SUBSTITUTE($C$6:$C$55,CHAR(10),""))+1)),
IF(_xlpm.r=0,"",_xlpm.r)
))</f>
        <v/>
      </c>
      <c r="CD57" s="56" t="str" cm="1">
        <f t="array" ref="CD57">IF($C57="","",_xlfn.LET(
_xlpm.r,SUMPRODUCT((ISNUMBER(SEARCH($C57,$C$6:$C$55)))*(CD$6:CD$55)/(LEN($C$6:$C$55)-LEN(SUBSTITUTE($C$6:$C$55,CHAR(10),""))+1)),
IF(_xlpm.r=0,"",_xlpm.r)
))</f>
        <v/>
      </c>
      <c r="CE57" s="56" t="str" cm="1">
        <f t="array" ref="CE57">IF($C57="","",_xlfn.LET(
_xlpm.r,SUMPRODUCT((ISNUMBER(SEARCH($C57,$C$6:$C$55)))*(CE$6:CE$55)/(LEN($C$6:$C$55)-LEN(SUBSTITUTE($C$6:$C$55,CHAR(10),""))+1)),
IF(_xlpm.r=0,"",_xlpm.r)
))</f>
        <v/>
      </c>
      <c r="CF57" s="56" t="str" cm="1">
        <f t="array" ref="CF57">IF($C57="","",_xlfn.LET(
_xlpm.r,SUMPRODUCT((ISNUMBER(SEARCH($C57,$C$6:$C$55)))*(CF$6:CF$55)/(LEN($C$6:$C$55)-LEN(SUBSTITUTE($C$6:$C$55,CHAR(10),""))+1)),
IF(_xlpm.r=0,"",_xlpm.r)
))</f>
        <v/>
      </c>
      <c r="CG57" s="56" t="str" cm="1">
        <f t="array" ref="CG57">IF($C57="","",_xlfn.LET(
_xlpm.r,SUMPRODUCT((ISNUMBER(SEARCH($C57,$C$6:$C$55)))*(CG$6:CG$55)/(LEN($C$6:$C$55)-LEN(SUBSTITUTE($C$6:$C$55,CHAR(10),""))+1)),
IF(_xlpm.r=0,"",_xlpm.r)
))</f>
        <v/>
      </c>
      <c r="CH57" s="56" t="str" cm="1">
        <f t="array" ref="CH57">IF($C57="","",_xlfn.LET(
_xlpm.r,SUMPRODUCT((ISNUMBER(SEARCH($C57,$C$6:$C$55)))*(CH$6:CH$55)/(LEN($C$6:$C$55)-LEN(SUBSTITUTE($C$6:$C$55,CHAR(10),""))+1)),
IF(_xlpm.r=0,"",_xlpm.r)
))</f>
        <v/>
      </c>
      <c r="CI57" s="56" t="str" cm="1">
        <f t="array" ref="CI57">IF($C57="","",_xlfn.LET(
_xlpm.r,SUMPRODUCT((ISNUMBER(SEARCH($C57,$C$6:$C$55)))*(CI$6:CI$55)/(LEN($C$6:$C$55)-LEN(SUBSTITUTE($C$6:$C$55,CHAR(10),""))+1)),
IF(_xlpm.r=0,"",_xlpm.r)
))</f>
        <v/>
      </c>
      <c r="CJ57" s="56" t="str" cm="1">
        <f t="array" ref="CJ57">IF($C57="","",_xlfn.LET(
_xlpm.r,SUMPRODUCT((ISNUMBER(SEARCH($C57,$C$6:$C$55)))*(CJ$6:CJ$55)/(LEN($C$6:$C$55)-LEN(SUBSTITUTE($C$6:$C$55,CHAR(10),""))+1)),
IF(_xlpm.r=0,"",_xlpm.r)
))</f>
        <v/>
      </c>
      <c r="CK57" s="56" t="str" cm="1">
        <f t="array" ref="CK57">IF($C57="","",_xlfn.LET(
_xlpm.r,SUMPRODUCT((ISNUMBER(SEARCH($C57,$C$6:$C$55)))*(CK$6:CK$55)/(LEN($C$6:$C$55)-LEN(SUBSTITUTE($C$6:$C$55,CHAR(10),""))+1)),
IF(_xlpm.r=0,"",_xlpm.r)
))</f>
        <v/>
      </c>
      <c r="CL57" s="56" t="str" cm="1">
        <f t="array" ref="CL57">IF($C57="","",_xlfn.LET(
_xlpm.r,SUMPRODUCT((ISNUMBER(SEARCH($C57,$C$6:$C$55)))*(CL$6:CL$55)/(LEN($C$6:$C$55)-LEN(SUBSTITUTE($C$6:$C$55,CHAR(10),""))+1)),
IF(_xlpm.r=0,"",_xlpm.r)
))</f>
        <v/>
      </c>
      <c r="CM57" s="56" t="str" cm="1">
        <f t="array" ref="CM57">IF($C57="","",_xlfn.LET(
_xlpm.r,SUMPRODUCT((ISNUMBER(SEARCH($C57,$C$6:$C$55)))*(CM$6:CM$55)/(LEN($C$6:$C$55)-LEN(SUBSTITUTE($C$6:$C$55,CHAR(10),""))+1)),
IF(_xlpm.r=0,"",_xlpm.r)
))</f>
        <v/>
      </c>
      <c r="CN57" s="56" t="str" cm="1">
        <f t="array" ref="CN57">IF($C57="","",_xlfn.LET(
_xlpm.r,SUMPRODUCT((ISNUMBER(SEARCH($C57,$C$6:$C$55)))*(CN$6:CN$55)/(LEN($C$6:$C$55)-LEN(SUBSTITUTE($C$6:$C$55,CHAR(10),""))+1)),
IF(_xlpm.r=0,"",_xlpm.r)
))</f>
        <v/>
      </c>
      <c r="CO57" s="56" t="str" cm="1">
        <f t="array" ref="CO57">IF($C57="","",_xlfn.LET(
_xlpm.r,SUMPRODUCT((ISNUMBER(SEARCH($C57,$C$6:$C$55)))*(CO$6:CO$55)/(LEN($C$6:$C$55)-LEN(SUBSTITUTE($C$6:$C$55,CHAR(10),""))+1)),
IF(_xlpm.r=0,"",_xlpm.r)
))</f>
        <v/>
      </c>
      <c r="CP57" s="56" t="str" cm="1">
        <f t="array" ref="CP57">IF($C57="","",_xlfn.LET(
_xlpm.r,SUMPRODUCT((ISNUMBER(SEARCH($C57,$C$6:$C$55)))*(CP$6:CP$55)/(LEN($C$6:$C$55)-LEN(SUBSTITUTE($C$6:$C$55,CHAR(10),""))+1)),
IF(_xlpm.r=0,"",_xlpm.r)
))</f>
        <v/>
      </c>
      <c r="CQ57" s="56" t="str" cm="1">
        <f t="array" ref="CQ57">IF($C57="","",_xlfn.LET(
_xlpm.r,SUMPRODUCT((ISNUMBER(SEARCH($C57,$C$6:$C$55)))*(CQ$6:CQ$55)/(LEN($C$6:$C$55)-LEN(SUBSTITUTE($C$6:$C$55,CHAR(10),""))+1)),
IF(_xlpm.r=0,"",_xlpm.r)
))</f>
        <v/>
      </c>
      <c r="CR57" s="56" t="str" cm="1">
        <f t="array" ref="CR57">IF($C57="","",_xlfn.LET(
_xlpm.r,SUMPRODUCT((ISNUMBER(SEARCH($C57,$C$6:$C$55)))*(CR$6:CR$55)/(LEN($C$6:$C$55)-LEN(SUBSTITUTE($C$6:$C$55,CHAR(10),""))+1)),
IF(_xlpm.r=0,"",_xlpm.r)
))</f>
        <v/>
      </c>
      <c r="CS57" s="56" t="str" cm="1">
        <f t="array" ref="CS57">IF($C57="","",_xlfn.LET(
_xlpm.r,SUMPRODUCT((ISNUMBER(SEARCH($C57,$C$6:$C$55)))*(CS$6:CS$55)/(LEN($C$6:$C$55)-LEN(SUBSTITUTE($C$6:$C$55,CHAR(10),""))+1)),
IF(_xlpm.r=0,"",_xlpm.r)
))</f>
        <v/>
      </c>
      <c r="CT57" s="56" t="str" cm="1">
        <f t="array" ref="CT57">IF($C57="","",_xlfn.LET(
_xlpm.r,SUMPRODUCT((ISNUMBER(SEARCH($C57,$C$6:$C$55)))*(CT$6:CT$55)/(LEN($C$6:$C$55)-LEN(SUBSTITUTE($C$6:$C$55,CHAR(10),""))+1)),
IF(_xlpm.r=0,"",_xlpm.r)
))</f>
        <v/>
      </c>
      <c r="CU57" s="56" t="str" cm="1">
        <f t="array" ref="CU57">IF($C57="","",_xlfn.LET(
_xlpm.r,SUMPRODUCT((ISNUMBER(SEARCH($C57,$C$6:$C$55)))*(CU$6:CU$55)/(LEN($C$6:$C$55)-LEN(SUBSTITUTE($C$6:$C$55,CHAR(10),""))+1)),
IF(_xlpm.r=0,"",_xlpm.r)
))</f>
        <v/>
      </c>
      <c r="CV57" s="56" t="str" cm="1">
        <f t="array" ref="CV57">IF($C57="","",_xlfn.LET(
_xlpm.r,SUMPRODUCT((ISNUMBER(SEARCH($C57,$C$6:$C$55)))*(CV$6:CV$55)/(LEN($C$6:$C$55)-LEN(SUBSTITUTE($C$6:$C$55,CHAR(10),""))+1)),
IF(_xlpm.r=0,"",_xlpm.r)
))</f>
        <v/>
      </c>
      <c r="CW57" s="56" t="str" cm="1">
        <f t="array" ref="CW57">IF($C57="","",_xlfn.LET(
_xlpm.r,SUMPRODUCT((ISNUMBER(SEARCH($C57,$C$6:$C$55)))*(CW$6:CW$55)/(LEN($C$6:$C$55)-LEN(SUBSTITUTE($C$6:$C$55,CHAR(10),""))+1)),
IF(_xlpm.r=0,"",_xlpm.r)
))</f>
        <v/>
      </c>
      <c r="CX57" s="56" t="str" cm="1">
        <f t="array" ref="CX57">IF($C57="","",_xlfn.LET(
_xlpm.r,SUMPRODUCT((ISNUMBER(SEARCH($C57,$C$6:$C$55)))*(CX$6:CX$55)/(LEN($C$6:$C$55)-LEN(SUBSTITUTE($C$6:$C$55,CHAR(10),""))+1)),
IF(_xlpm.r=0,"",_xlpm.r)
))</f>
        <v/>
      </c>
      <c r="CY57" s="56" t="str" cm="1">
        <f t="array" ref="CY57">IF($C57="","",_xlfn.LET(
_xlpm.r,SUMPRODUCT((ISNUMBER(SEARCH($C57,$C$6:$C$55)))*(CY$6:CY$55)/(LEN($C$6:$C$55)-LEN(SUBSTITUTE($C$6:$C$55,CHAR(10),""))+1)),
IF(_xlpm.r=0,"",_xlpm.r)
))</f>
        <v/>
      </c>
      <c r="CZ57" s="56" t="str" cm="1">
        <f t="array" ref="CZ57">IF($C57="","",_xlfn.LET(
_xlpm.r,SUMPRODUCT((ISNUMBER(SEARCH($C57,$C$6:$C$55)))*(CZ$6:CZ$55)/(LEN($C$6:$C$55)-LEN(SUBSTITUTE($C$6:$C$55,CHAR(10),""))+1)),
IF(_xlpm.r=0,"",_xlpm.r)
))</f>
        <v/>
      </c>
      <c r="DA57" s="56" t="str" cm="1">
        <f t="array" ref="DA57">IF($C57="","",_xlfn.LET(
_xlpm.r,SUMPRODUCT((ISNUMBER(SEARCH($C57,$C$6:$C$55)))*(DA$6:DA$55)/(LEN($C$6:$C$55)-LEN(SUBSTITUTE($C$6:$C$55,CHAR(10),""))+1)),
IF(_xlpm.r=0,"",_xlpm.r)
))</f>
        <v/>
      </c>
      <c r="DB57" s="56" t="str" cm="1">
        <f t="array" ref="DB57">IF($C57="","",_xlfn.LET(
_xlpm.r,SUMPRODUCT((ISNUMBER(SEARCH($C57,$C$6:$C$55)))*(DB$6:DB$55)/(LEN($C$6:$C$55)-LEN(SUBSTITUTE($C$6:$C$55,CHAR(10),""))+1)),
IF(_xlpm.r=0,"",_xlpm.r)
))</f>
        <v/>
      </c>
      <c r="DC57" s="56" t="str" cm="1">
        <f t="array" ref="DC57">IF($C57="","",_xlfn.LET(
_xlpm.r,SUMPRODUCT((ISNUMBER(SEARCH($C57,$C$6:$C$55)))*(DC$6:DC$55)/(LEN($C$6:$C$55)-LEN(SUBSTITUTE($C$6:$C$55,CHAR(10),""))+1)),
IF(_xlpm.r=0,"",_xlpm.r)
))</f>
        <v/>
      </c>
      <c r="DD57" s="56" t="str" cm="1">
        <f t="array" ref="DD57">IF($C57="","",_xlfn.LET(
_xlpm.r,SUMPRODUCT((ISNUMBER(SEARCH($C57,$C$6:$C$55)))*(DD$6:DD$55)/(LEN($C$6:$C$55)-LEN(SUBSTITUTE($C$6:$C$55,CHAR(10),""))+1)),
IF(_xlpm.r=0,"",_xlpm.r)
))</f>
        <v/>
      </c>
    </row>
    <row r="58" spans="1:112" x14ac:dyDescent="0.3">
      <c r="C58" s="63" t="s">
        <v>118</v>
      </c>
      <c r="D58" s="64"/>
      <c r="E58" s="61" t="str" cm="1">
        <f t="array" ref="E58">IF($C58="","",_xlfn.LET(
_xlpm.r,SUMPRODUCT((ISNUMBER(SEARCH($C58,$C$6:$C$55)))*(E$6:E$55)/(LEN($C$6:$C$55)-LEN(SUBSTITUTE($C$6:$C$55,CHAR(10),""))+1)),
IF(_xlpm.r=0,"",_xlpm.r)
))</f>
        <v/>
      </c>
      <c r="F58" s="61" cm="1">
        <f t="array" ref="F58">IF($C58="","",_xlfn.LET(
_xlpm.r,SUMPRODUCT((ISNUMBER(SEARCH($C58,$C$6:$C$55)))*(F$6:F$55)/(LEN($C$6:$C$55)-LEN(SUBSTITUTE($C$6:$C$55,CHAR(10),""))+1)),
IF(_xlpm.r=0,"",_xlpm.r)
))</f>
        <v>3</v>
      </c>
      <c r="G58" s="61" cm="1">
        <f t="array" ref="G58">IF($C58="","",_xlfn.LET(
_xlpm.r,SUMPRODUCT((ISNUMBER(SEARCH($C58,$C$6:$C$55)))*(G$6:G$55)/(LEN($C$6:$C$55)-LEN(SUBSTITUTE($C$6:$C$55,CHAR(10),""))+1)),
IF(_xlpm.r=0,"",_xlpm.r)
))</f>
        <v>3</v>
      </c>
      <c r="H58" s="61" cm="1">
        <f t="array" ref="H58">IF($C58="","",_xlfn.LET(
_xlpm.r,SUMPRODUCT((ISNUMBER(SEARCH($C58,$C$6:$C$55)))*(H$6:H$55)/(LEN($C$6:$C$55)-LEN(SUBSTITUTE($C$6:$C$55,CHAR(10),""))+1)),
IF(_xlpm.r=0,"",_xlpm.r)
))</f>
        <v>3</v>
      </c>
      <c r="I58" s="61" cm="1">
        <f t="array" ref="I58">IF($C58="","",_xlfn.LET(
_xlpm.r,SUMPRODUCT((ISNUMBER(SEARCH($C58,$C$6:$C$55)))*(I$6:I$55)/(LEN($C$6:$C$55)-LEN(SUBSTITUTE($C$6:$C$55,CHAR(10),""))+1)),
IF(_xlpm.r=0,"",_xlpm.r)
))</f>
        <v>3</v>
      </c>
      <c r="J58" s="61" cm="1">
        <f t="array" ref="J58">IF($C58="","",_xlfn.LET(
_xlpm.r,SUMPRODUCT((ISNUMBER(SEARCH($C58,$C$6:$C$55)))*(J$6:J$55)/(LEN($C$6:$C$55)-LEN(SUBSTITUTE($C$6:$C$55,CHAR(10),""))+1)),
IF(_xlpm.r=0,"",_xlpm.r)
))</f>
        <v>3</v>
      </c>
      <c r="K58" s="61" cm="1">
        <f t="array" ref="K58">IF($C58="","",_xlfn.LET(
_xlpm.r,SUMPRODUCT((ISNUMBER(SEARCH($C58,$C$6:$C$55)))*(K$6:K$55)/(LEN($C$6:$C$55)-LEN(SUBSTITUTE($C$6:$C$55,CHAR(10),""))+1)),
IF(_xlpm.r=0,"",_xlpm.r)
))</f>
        <v>3</v>
      </c>
      <c r="L58" s="61" cm="1">
        <f t="array" ref="L58">IF($C58="","",_xlfn.LET(
_xlpm.r,SUMPRODUCT((ISNUMBER(SEARCH($C58,$C$6:$C$55)))*(L$6:L$55)/(LEN($C$6:$C$55)-LEN(SUBSTITUTE($C$6:$C$55,CHAR(10),""))+1)),
IF(_xlpm.r=0,"",_xlpm.r)
))</f>
        <v>3</v>
      </c>
      <c r="M58" s="61" t="str" cm="1">
        <f t="array" ref="M58">IF($C58="","",_xlfn.LET(
_xlpm.r,SUMPRODUCT((ISNUMBER(SEARCH($C58,$C$6:$C$55)))*(M$6:M$55)/(LEN($C$6:$C$55)-LEN(SUBSTITUTE($C$6:$C$55,CHAR(10),""))+1)),
IF(_xlpm.r=0,"",_xlpm.r)
))</f>
        <v/>
      </c>
      <c r="N58" s="61" t="str" cm="1">
        <f t="array" ref="N58">IF($C58="","",_xlfn.LET(
_xlpm.r,SUMPRODUCT((ISNUMBER(SEARCH($C58,$C$6:$C$55)))*(N$6:N$55)/(LEN($C$6:$C$55)-LEN(SUBSTITUTE($C$6:$C$55,CHAR(10),""))+1)),
IF(_xlpm.r=0,"",_xlpm.r)
))</f>
        <v/>
      </c>
      <c r="O58" s="61" t="str" cm="1">
        <f t="array" ref="O58">IF($C58="","",_xlfn.LET(
_xlpm.r,SUMPRODUCT((ISNUMBER(SEARCH($C58,$C$6:$C$55)))*(O$6:O$55)/(LEN($C$6:$C$55)-LEN(SUBSTITUTE($C$6:$C$55,CHAR(10),""))+1)),
IF(_xlpm.r=0,"",_xlpm.r)
))</f>
        <v/>
      </c>
      <c r="P58" s="61" t="str" cm="1">
        <f t="array" ref="P58">IF($C58="","",_xlfn.LET(
_xlpm.r,SUMPRODUCT((ISNUMBER(SEARCH($C58,$C$6:$C$55)))*(P$6:P$55)/(LEN($C$6:$C$55)-LEN(SUBSTITUTE($C$6:$C$55,CHAR(10),""))+1)),
IF(_xlpm.r=0,"",_xlpm.r)
))</f>
        <v/>
      </c>
      <c r="Q58" s="61" t="str" cm="1">
        <f t="array" ref="Q58">IF($C58="","",_xlfn.LET(
_xlpm.r,SUMPRODUCT((ISNUMBER(SEARCH($C58,$C$6:$C$55)))*(Q$6:Q$55)/(LEN($C$6:$C$55)-LEN(SUBSTITUTE($C$6:$C$55,CHAR(10),""))+1)),
IF(_xlpm.r=0,"",_xlpm.r)
))</f>
        <v/>
      </c>
      <c r="R58" s="61" t="str" cm="1">
        <f t="array" ref="R58">IF($C58="","",_xlfn.LET(
_xlpm.r,SUMPRODUCT((ISNUMBER(SEARCH($C58,$C$6:$C$55)))*(R$6:R$55)/(LEN($C$6:$C$55)-LEN(SUBSTITUTE($C$6:$C$55,CHAR(10),""))+1)),
IF(_xlpm.r=0,"",_xlpm.r)
))</f>
        <v/>
      </c>
      <c r="S58" s="61" t="str" cm="1">
        <f t="array" ref="S58">IF($C58="","",_xlfn.LET(
_xlpm.r,SUMPRODUCT((ISNUMBER(SEARCH($C58,$C$6:$C$55)))*(S$6:S$55)/(LEN($C$6:$C$55)-LEN(SUBSTITUTE($C$6:$C$55,CHAR(10),""))+1)),
IF(_xlpm.r=0,"",_xlpm.r)
))</f>
        <v/>
      </c>
      <c r="T58" s="61" t="str" cm="1">
        <f t="array" ref="T58">IF($C58="","",_xlfn.LET(
_xlpm.r,SUMPRODUCT((ISNUMBER(SEARCH($C58,$C$6:$C$55)))*(T$6:T$55)/(LEN($C$6:$C$55)-LEN(SUBSTITUTE($C$6:$C$55,CHAR(10),""))+1)),
IF(_xlpm.r=0,"",_xlpm.r)
))</f>
        <v/>
      </c>
      <c r="U58" s="61" t="str" cm="1">
        <f t="array" ref="U58">IF($C58="","",_xlfn.LET(
_xlpm.r,SUMPRODUCT((ISNUMBER(SEARCH($C58,$C$6:$C$55)))*(U$6:U$55)/(LEN($C$6:$C$55)-LEN(SUBSTITUTE($C$6:$C$55,CHAR(10),""))+1)),
IF(_xlpm.r=0,"",_xlpm.r)
))</f>
        <v/>
      </c>
      <c r="V58" s="61" t="str" cm="1">
        <f t="array" ref="V58">IF($C58="","",_xlfn.LET(
_xlpm.r,SUMPRODUCT((ISNUMBER(SEARCH($C58,$C$6:$C$55)))*(V$6:V$55)/(LEN($C$6:$C$55)-LEN(SUBSTITUTE($C$6:$C$55,CHAR(10),""))+1)),
IF(_xlpm.r=0,"",_xlpm.r)
))</f>
        <v/>
      </c>
      <c r="W58" s="61" t="str" cm="1">
        <f t="array" ref="W58">IF($C58="","",_xlfn.LET(
_xlpm.r,SUMPRODUCT((ISNUMBER(SEARCH($C58,$C$6:$C$55)))*(W$6:W$55)/(LEN($C$6:$C$55)-LEN(SUBSTITUTE($C$6:$C$55,CHAR(10),""))+1)),
IF(_xlpm.r=0,"",_xlpm.r)
))</f>
        <v/>
      </c>
      <c r="X58" s="61" t="str" cm="1">
        <f t="array" ref="X58">IF($C58="","",_xlfn.LET(
_xlpm.r,SUMPRODUCT((ISNUMBER(SEARCH($C58,$C$6:$C$55)))*(X$6:X$55)/(LEN($C$6:$C$55)-LEN(SUBSTITUTE($C$6:$C$55,CHAR(10),""))+1)),
IF(_xlpm.r=0,"",_xlpm.r)
))</f>
        <v/>
      </c>
      <c r="Y58" s="61" t="str" cm="1">
        <f t="array" ref="Y58">IF($C58="","",_xlfn.LET(
_xlpm.r,SUMPRODUCT((ISNUMBER(SEARCH($C58,$C$6:$C$55)))*(Y$6:Y$55)/(LEN($C$6:$C$55)-LEN(SUBSTITUTE($C$6:$C$55,CHAR(10),""))+1)),
IF(_xlpm.r=0,"",_xlpm.r)
))</f>
        <v/>
      </c>
      <c r="Z58" s="61" t="str" cm="1">
        <f t="array" ref="Z58">IF($C58="","",_xlfn.LET(
_xlpm.r,SUMPRODUCT((ISNUMBER(SEARCH($C58,$C$6:$C$55)))*(Z$6:Z$55)/(LEN($C$6:$C$55)-LEN(SUBSTITUTE($C$6:$C$55,CHAR(10),""))+1)),
IF(_xlpm.r=0,"",_xlpm.r)
))</f>
        <v/>
      </c>
      <c r="AA58" s="61" t="str" cm="1">
        <f t="array" ref="AA58">IF($C58="","",_xlfn.LET(
_xlpm.r,SUMPRODUCT((ISNUMBER(SEARCH($C58,$C$6:$C$55)))*(AA$6:AA$55)/(LEN($C$6:$C$55)-LEN(SUBSTITUTE($C$6:$C$55,CHAR(10),""))+1)),
IF(_xlpm.r=0,"",_xlpm.r)
))</f>
        <v/>
      </c>
      <c r="AB58" s="61" t="str" cm="1">
        <f t="array" ref="AB58">IF($C58="","",_xlfn.LET(
_xlpm.r,SUMPRODUCT((ISNUMBER(SEARCH($C58,$C$6:$C$55)))*(AB$6:AB$55)/(LEN($C$6:$C$55)-LEN(SUBSTITUTE($C$6:$C$55,CHAR(10),""))+1)),
IF(_xlpm.r=0,"",_xlpm.r)
))</f>
        <v/>
      </c>
      <c r="AC58" s="61" t="str" cm="1">
        <f t="array" ref="AC58">IF($C58="","",_xlfn.LET(
_xlpm.r,SUMPRODUCT((ISNUMBER(SEARCH($C58,$C$6:$C$55)))*(AC$6:AC$55)/(LEN($C$6:$C$55)-LEN(SUBSTITUTE($C$6:$C$55,CHAR(10),""))+1)),
IF(_xlpm.r=0,"",_xlpm.r)
))</f>
        <v/>
      </c>
      <c r="AD58" s="61" t="str" cm="1">
        <f t="array" ref="AD58">IF($C58="","",_xlfn.LET(
_xlpm.r,SUMPRODUCT((ISNUMBER(SEARCH($C58,$C$6:$C$55)))*(AD$6:AD$55)/(LEN($C$6:$C$55)-LEN(SUBSTITUTE($C$6:$C$55,CHAR(10),""))+1)),
IF(_xlpm.r=0,"",_xlpm.r)
))</f>
        <v/>
      </c>
      <c r="AE58" s="61" t="str" cm="1">
        <f t="array" ref="AE58">IF($C58="","",_xlfn.LET(
_xlpm.r,SUMPRODUCT((ISNUMBER(SEARCH($C58,$C$6:$C$55)))*(AE$6:AE$55)/(LEN($C$6:$C$55)-LEN(SUBSTITUTE($C$6:$C$55,CHAR(10),""))+1)),
IF(_xlpm.r=0,"",_xlpm.r)
))</f>
        <v/>
      </c>
      <c r="AF58" s="61" t="str" cm="1">
        <f t="array" ref="AF58">IF($C58="","",_xlfn.LET(
_xlpm.r,SUMPRODUCT((ISNUMBER(SEARCH($C58,$C$6:$C$55)))*(AF$6:AF$55)/(LEN($C$6:$C$55)-LEN(SUBSTITUTE($C$6:$C$55,CHAR(10),""))+1)),
IF(_xlpm.r=0,"",_xlpm.r)
))</f>
        <v/>
      </c>
      <c r="AG58" s="61" t="str" cm="1">
        <f t="array" ref="AG58">IF($C58="","",_xlfn.LET(
_xlpm.r,SUMPRODUCT((ISNUMBER(SEARCH($C58,$C$6:$C$55)))*(AG$6:AG$55)/(LEN($C$6:$C$55)-LEN(SUBSTITUTE($C$6:$C$55,CHAR(10),""))+1)),
IF(_xlpm.r=0,"",_xlpm.r)
))</f>
        <v/>
      </c>
      <c r="AH58" s="61" t="str" cm="1">
        <f t="array" ref="AH58">IF($C58="","",_xlfn.LET(
_xlpm.r,SUMPRODUCT((ISNUMBER(SEARCH($C58,$C$6:$C$55)))*(AH$6:AH$55)/(LEN($C$6:$C$55)-LEN(SUBSTITUTE($C$6:$C$55,CHAR(10),""))+1)),
IF(_xlpm.r=0,"",_xlpm.r)
))</f>
        <v/>
      </c>
      <c r="AI58" s="61" t="str" cm="1">
        <f t="array" ref="AI58">IF($C58="","",_xlfn.LET(
_xlpm.r,SUMPRODUCT((ISNUMBER(SEARCH($C58,$C$6:$C$55)))*(AI$6:AI$55)/(LEN($C$6:$C$55)-LEN(SUBSTITUTE($C$6:$C$55,CHAR(10),""))+1)),
IF(_xlpm.r=0,"",_xlpm.r)
))</f>
        <v/>
      </c>
      <c r="AJ58" s="61" t="str" cm="1">
        <f t="array" ref="AJ58">IF($C58="","",_xlfn.LET(
_xlpm.r,SUMPRODUCT((ISNUMBER(SEARCH($C58,$C$6:$C$55)))*(AJ$6:AJ$55)/(LEN($C$6:$C$55)-LEN(SUBSTITUTE($C$6:$C$55,CHAR(10),""))+1)),
IF(_xlpm.r=0,"",_xlpm.r)
))</f>
        <v/>
      </c>
      <c r="AK58" s="61" t="str" cm="1">
        <f t="array" ref="AK58">IF($C58="","",_xlfn.LET(
_xlpm.r,SUMPRODUCT((ISNUMBER(SEARCH($C58,$C$6:$C$55)))*(AK$6:AK$55)/(LEN($C$6:$C$55)-LEN(SUBSTITUTE($C$6:$C$55,CHAR(10),""))+1)),
IF(_xlpm.r=0,"",_xlpm.r)
))</f>
        <v/>
      </c>
      <c r="AL58" s="61" t="str" cm="1">
        <f t="array" ref="AL58">IF($C58="","",_xlfn.LET(
_xlpm.r,SUMPRODUCT((ISNUMBER(SEARCH($C58,$C$6:$C$55)))*(AL$6:AL$55)/(LEN($C$6:$C$55)-LEN(SUBSTITUTE($C$6:$C$55,CHAR(10),""))+1)),
IF(_xlpm.r=0,"",_xlpm.r)
))</f>
        <v/>
      </c>
      <c r="AM58" s="61" t="str" cm="1">
        <f t="array" ref="AM58">IF($C58="","",_xlfn.LET(
_xlpm.r,SUMPRODUCT((ISNUMBER(SEARCH($C58,$C$6:$C$55)))*(AM$6:AM$55)/(LEN($C$6:$C$55)-LEN(SUBSTITUTE($C$6:$C$55,CHAR(10),""))+1)),
IF(_xlpm.r=0,"",_xlpm.r)
))</f>
        <v/>
      </c>
      <c r="AN58" s="61" t="str" cm="1">
        <f t="array" ref="AN58">IF($C58="","",_xlfn.LET(
_xlpm.r,SUMPRODUCT((ISNUMBER(SEARCH($C58,$C$6:$C$55)))*(AN$6:AN$55)/(LEN($C$6:$C$55)-LEN(SUBSTITUTE($C$6:$C$55,CHAR(10),""))+1)),
IF(_xlpm.r=0,"",_xlpm.r)
))</f>
        <v/>
      </c>
      <c r="AO58" s="61" t="str" cm="1">
        <f t="array" ref="AO58">IF($C58="","",_xlfn.LET(
_xlpm.r,SUMPRODUCT((ISNUMBER(SEARCH($C58,$C$6:$C$55)))*(AO$6:AO$55)/(LEN($C$6:$C$55)-LEN(SUBSTITUTE($C$6:$C$55,CHAR(10),""))+1)),
IF(_xlpm.r=0,"",_xlpm.r)
))</f>
        <v/>
      </c>
      <c r="AP58" s="61" t="str" cm="1">
        <f t="array" ref="AP58">IF($C58="","",_xlfn.LET(
_xlpm.r,SUMPRODUCT((ISNUMBER(SEARCH($C58,$C$6:$C$55)))*(AP$6:AP$55)/(LEN($C$6:$C$55)-LEN(SUBSTITUTE($C$6:$C$55,CHAR(10),""))+1)),
IF(_xlpm.r=0,"",_xlpm.r)
))</f>
        <v/>
      </c>
      <c r="AQ58" s="61" t="str" cm="1">
        <f t="array" ref="AQ58">IF($C58="","",_xlfn.LET(
_xlpm.r,SUMPRODUCT((ISNUMBER(SEARCH($C58,$C$6:$C$55)))*(AQ$6:AQ$55)/(LEN($C$6:$C$55)-LEN(SUBSTITUTE($C$6:$C$55,CHAR(10),""))+1)),
IF(_xlpm.r=0,"",_xlpm.r)
))</f>
        <v/>
      </c>
      <c r="AR58" s="61" t="str" cm="1">
        <f t="array" ref="AR58">IF($C58="","",_xlfn.LET(
_xlpm.r,SUMPRODUCT((ISNUMBER(SEARCH($C58,$C$6:$C$55)))*(AR$6:AR$55)/(LEN($C$6:$C$55)-LEN(SUBSTITUTE($C$6:$C$55,CHAR(10),""))+1)),
IF(_xlpm.r=0,"",_xlpm.r)
))</f>
        <v/>
      </c>
      <c r="AS58" s="61" t="str" cm="1">
        <f t="array" ref="AS58">IF($C58="","",_xlfn.LET(
_xlpm.r,SUMPRODUCT((ISNUMBER(SEARCH($C58,$C$6:$C$55)))*(AS$6:AS$55)/(LEN($C$6:$C$55)-LEN(SUBSTITUTE($C$6:$C$55,CHAR(10),""))+1)),
IF(_xlpm.r=0,"",_xlpm.r)
))</f>
        <v/>
      </c>
      <c r="AT58" s="61" t="str" cm="1">
        <f t="array" ref="AT58">IF($C58="","",_xlfn.LET(
_xlpm.r,SUMPRODUCT((ISNUMBER(SEARCH($C58,$C$6:$C$55)))*(AT$6:AT$55)/(LEN($C$6:$C$55)-LEN(SUBSTITUTE($C$6:$C$55,CHAR(10),""))+1)),
IF(_xlpm.r=0,"",_xlpm.r)
))</f>
        <v/>
      </c>
      <c r="AU58" s="61" t="str" cm="1">
        <f t="array" ref="AU58">IF($C58="","",_xlfn.LET(
_xlpm.r,SUMPRODUCT((ISNUMBER(SEARCH($C58,$C$6:$C$55)))*(AU$6:AU$55)/(LEN($C$6:$C$55)-LEN(SUBSTITUTE($C$6:$C$55,CHAR(10),""))+1)),
IF(_xlpm.r=0,"",_xlpm.r)
))</f>
        <v/>
      </c>
      <c r="AV58" s="61" t="str" cm="1">
        <f t="array" ref="AV58">IF($C58="","",_xlfn.LET(
_xlpm.r,SUMPRODUCT((ISNUMBER(SEARCH($C58,$C$6:$C$55)))*(AV$6:AV$55)/(LEN($C$6:$C$55)-LEN(SUBSTITUTE($C$6:$C$55,CHAR(10),""))+1)),
IF(_xlpm.r=0,"",_xlpm.r)
))</f>
        <v/>
      </c>
      <c r="AW58" s="61" t="str" cm="1">
        <f t="array" ref="AW58">IF($C58="","",_xlfn.LET(
_xlpm.r,SUMPRODUCT((ISNUMBER(SEARCH($C58,$C$6:$C$55)))*(AW$6:AW$55)/(LEN($C$6:$C$55)-LEN(SUBSTITUTE($C$6:$C$55,CHAR(10),""))+1)),
IF(_xlpm.r=0,"",_xlpm.r)
))</f>
        <v/>
      </c>
      <c r="AX58" s="61" t="str" cm="1">
        <f t="array" ref="AX58">IF($C58="","",_xlfn.LET(
_xlpm.r,SUMPRODUCT((ISNUMBER(SEARCH($C58,$C$6:$C$55)))*(AX$6:AX$55)/(LEN($C$6:$C$55)-LEN(SUBSTITUTE($C$6:$C$55,CHAR(10),""))+1)),
IF(_xlpm.r=0,"",_xlpm.r)
))</f>
        <v/>
      </c>
      <c r="AY58" s="61" t="str" cm="1">
        <f t="array" ref="AY58">IF($C58="","",_xlfn.LET(
_xlpm.r,SUMPRODUCT((ISNUMBER(SEARCH($C58,$C$6:$C$55)))*(AY$6:AY$55)/(LEN($C$6:$C$55)-LEN(SUBSTITUTE($C$6:$C$55,CHAR(10),""))+1)),
IF(_xlpm.r=0,"",_xlpm.r)
))</f>
        <v/>
      </c>
      <c r="AZ58" s="61" t="str" cm="1">
        <f t="array" ref="AZ58">IF($C58="","",_xlfn.LET(
_xlpm.r,SUMPRODUCT((ISNUMBER(SEARCH($C58,$C$6:$C$55)))*(AZ$6:AZ$55)/(LEN($C$6:$C$55)-LEN(SUBSTITUTE($C$6:$C$55,CHAR(10),""))+1)),
IF(_xlpm.r=0,"",_xlpm.r)
))</f>
        <v/>
      </c>
      <c r="BA58" s="61" t="str" cm="1">
        <f t="array" ref="BA58">IF($C58="","",_xlfn.LET(
_xlpm.r,SUMPRODUCT((ISNUMBER(SEARCH($C58,$C$6:$C$55)))*(BA$6:BA$55)/(LEN($C$6:$C$55)-LEN(SUBSTITUTE($C$6:$C$55,CHAR(10),""))+1)),
IF(_xlpm.r=0,"",_xlpm.r)
))</f>
        <v/>
      </c>
      <c r="BB58" s="61" t="str" cm="1">
        <f t="array" ref="BB58">IF($C58="","",_xlfn.LET(
_xlpm.r,SUMPRODUCT((ISNUMBER(SEARCH($C58,$C$6:$C$55)))*(BB$6:BB$55)/(LEN($C$6:$C$55)-LEN(SUBSTITUTE($C$6:$C$55,CHAR(10),""))+1)),
IF(_xlpm.r=0,"",_xlpm.r)
))</f>
        <v/>
      </c>
      <c r="BC58" s="61" t="str" cm="1">
        <f t="array" ref="BC58">IF($C58="","",_xlfn.LET(
_xlpm.r,SUMPRODUCT((ISNUMBER(SEARCH($C58,$C$6:$C$55)))*(BC$6:BC$55)/(LEN($C$6:$C$55)-LEN(SUBSTITUTE($C$6:$C$55,CHAR(10),""))+1)),
IF(_xlpm.r=0,"",_xlpm.r)
))</f>
        <v/>
      </c>
      <c r="BD58" s="61" t="str" cm="1">
        <f t="array" ref="BD58">IF($C58="","",_xlfn.LET(
_xlpm.r,SUMPRODUCT((ISNUMBER(SEARCH($C58,$C$6:$C$55)))*(BD$6:BD$55)/(LEN($C$6:$C$55)-LEN(SUBSTITUTE($C$6:$C$55,CHAR(10),""))+1)),
IF(_xlpm.r=0,"",_xlpm.r)
))</f>
        <v/>
      </c>
      <c r="BE58" s="61" t="str" cm="1">
        <f t="array" ref="BE58">IF($C58="","",_xlfn.LET(
_xlpm.r,SUMPRODUCT((ISNUMBER(SEARCH($C58,$C$6:$C$55)))*(BE$6:BE$55)/(LEN($C$6:$C$55)-LEN(SUBSTITUTE($C$6:$C$55,CHAR(10),""))+1)),
IF(_xlpm.r=0,"",_xlpm.r)
))</f>
        <v/>
      </c>
      <c r="BF58" s="61" t="str" cm="1">
        <f t="array" ref="BF58">IF($C58="","",_xlfn.LET(
_xlpm.r,SUMPRODUCT((ISNUMBER(SEARCH($C58,$C$6:$C$55)))*(BF$6:BF$55)/(LEN($C$6:$C$55)-LEN(SUBSTITUTE($C$6:$C$55,CHAR(10),""))+1)),
IF(_xlpm.r=0,"",_xlpm.r)
))</f>
        <v/>
      </c>
      <c r="BG58" s="61" t="str" cm="1">
        <f t="array" ref="BG58">IF($C58="","",_xlfn.LET(
_xlpm.r,SUMPRODUCT((ISNUMBER(SEARCH($C58,$C$6:$C$55)))*(BG$6:BG$55)/(LEN($C$6:$C$55)-LEN(SUBSTITUTE($C$6:$C$55,CHAR(10),""))+1)),
IF(_xlpm.r=0,"",_xlpm.r)
))</f>
        <v/>
      </c>
      <c r="BH58" s="61" t="str" cm="1">
        <f t="array" ref="BH58">IF($C58="","",_xlfn.LET(
_xlpm.r,SUMPRODUCT((ISNUMBER(SEARCH($C58,$C$6:$C$55)))*(BH$6:BH$55)/(LEN($C$6:$C$55)-LEN(SUBSTITUTE($C$6:$C$55,CHAR(10),""))+1)),
IF(_xlpm.r=0,"",_xlpm.r)
))</f>
        <v/>
      </c>
      <c r="BI58" s="61" t="str" cm="1">
        <f t="array" ref="BI58">IF($C58="","",_xlfn.LET(
_xlpm.r,SUMPRODUCT((ISNUMBER(SEARCH($C58,$C$6:$C$55)))*(BI$6:BI$55)/(LEN($C$6:$C$55)-LEN(SUBSTITUTE($C$6:$C$55,CHAR(10),""))+1)),
IF(_xlpm.r=0,"",_xlpm.r)
))</f>
        <v/>
      </c>
      <c r="BJ58" s="61" t="str" cm="1">
        <f t="array" ref="BJ58">IF($C58="","",_xlfn.LET(
_xlpm.r,SUMPRODUCT((ISNUMBER(SEARCH($C58,$C$6:$C$55)))*(BJ$6:BJ$55)/(LEN($C$6:$C$55)-LEN(SUBSTITUTE($C$6:$C$55,CHAR(10),""))+1)),
IF(_xlpm.r=0,"",_xlpm.r)
))</f>
        <v/>
      </c>
      <c r="BK58" s="61" t="str" cm="1">
        <f t="array" ref="BK58">IF($C58="","",_xlfn.LET(
_xlpm.r,SUMPRODUCT((ISNUMBER(SEARCH($C58,$C$6:$C$55)))*(BK$6:BK$55)/(LEN($C$6:$C$55)-LEN(SUBSTITUTE($C$6:$C$55,CHAR(10),""))+1)),
IF(_xlpm.r=0,"",_xlpm.r)
))</f>
        <v/>
      </c>
      <c r="BL58" s="61" t="str" cm="1">
        <f t="array" ref="BL58">IF($C58="","",_xlfn.LET(
_xlpm.r,SUMPRODUCT((ISNUMBER(SEARCH($C58,$C$6:$C$55)))*(BL$6:BL$55)/(LEN($C$6:$C$55)-LEN(SUBSTITUTE($C$6:$C$55,CHAR(10),""))+1)),
IF(_xlpm.r=0,"",_xlpm.r)
))</f>
        <v/>
      </c>
      <c r="BM58" s="61" t="str" cm="1">
        <f t="array" ref="BM58">IF($C58="","",_xlfn.LET(
_xlpm.r,SUMPRODUCT((ISNUMBER(SEARCH($C58,$C$6:$C$55)))*(BM$6:BM$55)/(LEN($C$6:$C$55)-LEN(SUBSTITUTE($C$6:$C$55,CHAR(10),""))+1)),
IF(_xlpm.r=0,"",_xlpm.r)
))</f>
        <v/>
      </c>
      <c r="BN58" s="61" t="str" cm="1">
        <f t="array" ref="BN58">IF($C58="","",_xlfn.LET(
_xlpm.r,SUMPRODUCT((ISNUMBER(SEARCH($C58,$C$6:$C$55)))*(BN$6:BN$55)/(LEN($C$6:$C$55)-LEN(SUBSTITUTE($C$6:$C$55,CHAR(10),""))+1)),
IF(_xlpm.r=0,"",_xlpm.r)
))</f>
        <v/>
      </c>
      <c r="BO58" s="61" t="str" cm="1">
        <f t="array" ref="BO58">IF($C58="","",_xlfn.LET(
_xlpm.r,SUMPRODUCT((ISNUMBER(SEARCH($C58,$C$6:$C$55)))*(BO$6:BO$55)/(LEN($C$6:$C$55)-LEN(SUBSTITUTE($C$6:$C$55,CHAR(10),""))+1)),
IF(_xlpm.r=0,"",_xlpm.r)
))</f>
        <v/>
      </c>
      <c r="BP58" s="61" t="str" cm="1">
        <f t="array" ref="BP58">IF($C58="","",_xlfn.LET(
_xlpm.r,SUMPRODUCT((ISNUMBER(SEARCH($C58,$C$6:$C$55)))*(BP$6:BP$55)/(LEN($C$6:$C$55)-LEN(SUBSTITUTE($C$6:$C$55,CHAR(10),""))+1)),
IF(_xlpm.r=0,"",_xlpm.r)
))</f>
        <v/>
      </c>
      <c r="BQ58" s="61" t="str" cm="1">
        <f t="array" ref="BQ58">IF($C58="","",_xlfn.LET(
_xlpm.r,SUMPRODUCT((ISNUMBER(SEARCH($C58,$C$6:$C$55)))*(BQ$6:BQ$55)/(LEN($C$6:$C$55)-LEN(SUBSTITUTE($C$6:$C$55,CHAR(10),""))+1)),
IF(_xlpm.r=0,"",_xlpm.r)
))</f>
        <v/>
      </c>
      <c r="BR58" s="61" t="str" cm="1">
        <f t="array" ref="BR58">IF($C58="","",_xlfn.LET(
_xlpm.r,SUMPRODUCT((ISNUMBER(SEARCH($C58,$C$6:$C$55)))*(BR$6:BR$55)/(LEN($C$6:$C$55)-LEN(SUBSTITUTE($C$6:$C$55,CHAR(10),""))+1)),
IF(_xlpm.r=0,"",_xlpm.r)
))</f>
        <v/>
      </c>
      <c r="BS58" s="61" t="str" cm="1">
        <f t="array" ref="BS58">IF($C58="","",_xlfn.LET(
_xlpm.r,SUMPRODUCT((ISNUMBER(SEARCH($C58,$C$6:$C$55)))*(BS$6:BS$55)/(LEN($C$6:$C$55)-LEN(SUBSTITUTE($C$6:$C$55,CHAR(10),""))+1)),
IF(_xlpm.r=0,"",_xlpm.r)
))</f>
        <v/>
      </c>
      <c r="BT58" s="61" t="str" cm="1">
        <f t="array" ref="BT58">IF($C58="","",_xlfn.LET(
_xlpm.r,SUMPRODUCT((ISNUMBER(SEARCH($C58,$C$6:$C$55)))*(BT$6:BT$55)/(LEN($C$6:$C$55)-LEN(SUBSTITUTE($C$6:$C$55,CHAR(10),""))+1)),
IF(_xlpm.r=0,"",_xlpm.r)
))</f>
        <v/>
      </c>
      <c r="BU58" s="61" t="str" cm="1">
        <f t="array" ref="BU58">IF($C58="","",_xlfn.LET(
_xlpm.r,SUMPRODUCT((ISNUMBER(SEARCH($C58,$C$6:$C$55)))*(BU$6:BU$55)/(LEN($C$6:$C$55)-LEN(SUBSTITUTE($C$6:$C$55,CHAR(10),""))+1)),
IF(_xlpm.r=0,"",_xlpm.r)
))</f>
        <v/>
      </c>
      <c r="BV58" s="61" t="str" cm="1">
        <f t="array" ref="BV58">IF($C58="","",_xlfn.LET(
_xlpm.r,SUMPRODUCT((ISNUMBER(SEARCH($C58,$C$6:$C$55)))*(BV$6:BV$55)/(LEN($C$6:$C$55)-LEN(SUBSTITUTE($C$6:$C$55,CHAR(10),""))+1)),
IF(_xlpm.r=0,"",_xlpm.r)
))</f>
        <v/>
      </c>
      <c r="BW58" s="61" t="str" cm="1">
        <f t="array" ref="BW58">IF($C58="","",_xlfn.LET(
_xlpm.r,SUMPRODUCT((ISNUMBER(SEARCH($C58,$C$6:$C$55)))*(BW$6:BW$55)/(LEN($C$6:$C$55)-LEN(SUBSTITUTE($C$6:$C$55,CHAR(10),""))+1)),
IF(_xlpm.r=0,"",_xlpm.r)
))</f>
        <v/>
      </c>
      <c r="BX58" s="61" t="str" cm="1">
        <f t="array" ref="BX58">IF($C58="","",_xlfn.LET(
_xlpm.r,SUMPRODUCT((ISNUMBER(SEARCH($C58,$C$6:$C$55)))*(BX$6:BX$55)/(LEN($C$6:$C$55)-LEN(SUBSTITUTE($C$6:$C$55,CHAR(10),""))+1)),
IF(_xlpm.r=0,"",_xlpm.r)
))</f>
        <v/>
      </c>
      <c r="BY58" s="61" t="str" cm="1">
        <f t="array" ref="BY58">IF($C58="","",_xlfn.LET(
_xlpm.r,SUMPRODUCT((ISNUMBER(SEARCH($C58,$C$6:$C$55)))*(BY$6:BY$55)/(LEN($C$6:$C$55)-LEN(SUBSTITUTE($C$6:$C$55,CHAR(10),""))+1)),
IF(_xlpm.r=0,"",_xlpm.r)
))</f>
        <v/>
      </c>
      <c r="BZ58" s="61" t="str" cm="1">
        <f t="array" ref="BZ58">IF($C58="","",_xlfn.LET(
_xlpm.r,SUMPRODUCT((ISNUMBER(SEARCH($C58,$C$6:$C$55)))*(BZ$6:BZ$55)/(LEN($C$6:$C$55)-LEN(SUBSTITUTE($C$6:$C$55,CHAR(10),""))+1)),
IF(_xlpm.r=0,"",_xlpm.r)
))</f>
        <v/>
      </c>
      <c r="CA58" s="61" t="str" cm="1">
        <f t="array" ref="CA58">IF($C58="","",_xlfn.LET(
_xlpm.r,SUMPRODUCT((ISNUMBER(SEARCH($C58,$C$6:$C$55)))*(CA$6:CA$55)/(LEN($C$6:$C$55)-LEN(SUBSTITUTE($C$6:$C$55,CHAR(10),""))+1)),
IF(_xlpm.r=0,"",_xlpm.r)
))</f>
        <v/>
      </c>
      <c r="CB58" s="61" t="str" cm="1">
        <f t="array" ref="CB58">IF($C58="","",_xlfn.LET(
_xlpm.r,SUMPRODUCT((ISNUMBER(SEARCH($C58,$C$6:$C$55)))*(CB$6:CB$55)/(LEN($C$6:$C$55)-LEN(SUBSTITUTE($C$6:$C$55,CHAR(10),""))+1)),
IF(_xlpm.r=0,"",_xlpm.r)
))</f>
        <v/>
      </c>
      <c r="CC58" s="61" t="str" cm="1">
        <f t="array" ref="CC58">IF($C58="","",_xlfn.LET(
_xlpm.r,SUMPRODUCT((ISNUMBER(SEARCH($C58,$C$6:$C$55)))*(CC$6:CC$55)/(LEN($C$6:$C$55)-LEN(SUBSTITUTE($C$6:$C$55,CHAR(10),""))+1)),
IF(_xlpm.r=0,"",_xlpm.r)
))</f>
        <v/>
      </c>
      <c r="CD58" s="61" t="str" cm="1">
        <f t="array" ref="CD58">IF($C58="","",_xlfn.LET(
_xlpm.r,SUMPRODUCT((ISNUMBER(SEARCH($C58,$C$6:$C$55)))*(CD$6:CD$55)/(LEN($C$6:$C$55)-LEN(SUBSTITUTE($C$6:$C$55,CHAR(10),""))+1)),
IF(_xlpm.r=0,"",_xlpm.r)
))</f>
        <v/>
      </c>
      <c r="CE58" s="61" t="str" cm="1">
        <f t="array" ref="CE58">IF($C58="","",_xlfn.LET(
_xlpm.r,SUMPRODUCT((ISNUMBER(SEARCH($C58,$C$6:$C$55)))*(CE$6:CE$55)/(LEN($C$6:$C$55)-LEN(SUBSTITUTE($C$6:$C$55,CHAR(10),""))+1)),
IF(_xlpm.r=0,"",_xlpm.r)
))</f>
        <v/>
      </c>
      <c r="CF58" s="61" t="str" cm="1">
        <f t="array" ref="CF58">IF($C58="","",_xlfn.LET(
_xlpm.r,SUMPRODUCT((ISNUMBER(SEARCH($C58,$C$6:$C$55)))*(CF$6:CF$55)/(LEN($C$6:$C$55)-LEN(SUBSTITUTE($C$6:$C$55,CHAR(10),""))+1)),
IF(_xlpm.r=0,"",_xlpm.r)
))</f>
        <v/>
      </c>
      <c r="CG58" s="61" t="str" cm="1">
        <f t="array" ref="CG58">IF($C58="","",_xlfn.LET(
_xlpm.r,SUMPRODUCT((ISNUMBER(SEARCH($C58,$C$6:$C$55)))*(CG$6:CG$55)/(LEN($C$6:$C$55)-LEN(SUBSTITUTE($C$6:$C$55,CHAR(10),""))+1)),
IF(_xlpm.r=0,"",_xlpm.r)
))</f>
        <v/>
      </c>
      <c r="CH58" s="61" t="str" cm="1">
        <f t="array" ref="CH58">IF($C58="","",_xlfn.LET(
_xlpm.r,SUMPRODUCT((ISNUMBER(SEARCH($C58,$C$6:$C$55)))*(CH$6:CH$55)/(LEN($C$6:$C$55)-LEN(SUBSTITUTE($C$6:$C$55,CHAR(10),""))+1)),
IF(_xlpm.r=0,"",_xlpm.r)
))</f>
        <v/>
      </c>
      <c r="CI58" s="61" t="str" cm="1">
        <f t="array" ref="CI58">IF($C58="","",_xlfn.LET(
_xlpm.r,SUMPRODUCT((ISNUMBER(SEARCH($C58,$C$6:$C$55)))*(CI$6:CI$55)/(LEN($C$6:$C$55)-LEN(SUBSTITUTE($C$6:$C$55,CHAR(10),""))+1)),
IF(_xlpm.r=0,"",_xlpm.r)
))</f>
        <v/>
      </c>
      <c r="CJ58" s="61" t="str" cm="1">
        <f t="array" ref="CJ58">IF($C58="","",_xlfn.LET(
_xlpm.r,SUMPRODUCT((ISNUMBER(SEARCH($C58,$C$6:$C$55)))*(CJ$6:CJ$55)/(LEN($C$6:$C$55)-LEN(SUBSTITUTE($C$6:$C$55,CHAR(10),""))+1)),
IF(_xlpm.r=0,"",_xlpm.r)
))</f>
        <v/>
      </c>
      <c r="CK58" s="61" t="str" cm="1">
        <f t="array" ref="CK58">IF($C58="","",_xlfn.LET(
_xlpm.r,SUMPRODUCT((ISNUMBER(SEARCH($C58,$C$6:$C$55)))*(CK$6:CK$55)/(LEN($C$6:$C$55)-LEN(SUBSTITUTE($C$6:$C$55,CHAR(10),""))+1)),
IF(_xlpm.r=0,"",_xlpm.r)
))</f>
        <v/>
      </c>
      <c r="CL58" s="61" t="str" cm="1">
        <f t="array" ref="CL58">IF($C58="","",_xlfn.LET(
_xlpm.r,SUMPRODUCT((ISNUMBER(SEARCH($C58,$C$6:$C$55)))*(CL$6:CL$55)/(LEN($C$6:$C$55)-LEN(SUBSTITUTE($C$6:$C$55,CHAR(10),""))+1)),
IF(_xlpm.r=0,"",_xlpm.r)
))</f>
        <v/>
      </c>
      <c r="CM58" s="61" t="str" cm="1">
        <f t="array" ref="CM58">IF($C58="","",_xlfn.LET(
_xlpm.r,SUMPRODUCT((ISNUMBER(SEARCH($C58,$C$6:$C$55)))*(CM$6:CM$55)/(LEN($C$6:$C$55)-LEN(SUBSTITUTE($C$6:$C$55,CHAR(10),""))+1)),
IF(_xlpm.r=0,"",_xlpm.r)
))</f>
        <v/>
      </c>
      <c r="CN58" s="61" t="str" cm="1">
        <f t="array" ref="CN58">IF($C58="","",_xlfn.LET(
_xlpm.r,SUMPRODUCT((ISNUMBER(SEARCH($C58,$C$6:$C$55)))*(CN$6:CN$55)/(LEN($C$6:$C$55)-LEN(SUBSTITUTE($C$6:$C$55,CHAR(10),""))+1)),
IF(_xlpm.r=0,"",_xlpm.r)
))</f>
        <v/>
      </c>
      <c r="CO58" s="61" t="str" cm="1">
        <f t="array" ref="CO58">IF($C58="","",_xlfn.LET(
_xlpm.r,SUMPRODUCT((ISNUMBER(SEARCH($C58,$C$6:$C$55)))*(CO$6:CO$55)/(LEN($C$6:$C$55)-LEN(SUBSTITUTE($C$6:$C$55,CHAR(10),""))+1)),
IF(_xlpm.r=0,"",_xlpm.r)
))</f>
        <v/>
      </c>
      <c r="CP58" s="61" t="str" cm="1">
        <f t="array" ref="CP58">IF($C58="","",_xlfn.LET(
_xlpm.r,SUMPRODUCT((ISNUMBER(SEARCH($C58,$C$6:$C$55)))*(CP$6:CP$55)/(LEN($C$6:$C$55)-LEN(SUBSTITUTE($C$6:$C$55,CHAR(10),""))+1)),
IF(_xlpm.r=0,"",_xlpm.r)
))</f>
        <v/>
      </c>
      <c r="CQ58" s="61" t="str" cm="1">
        <f t="array" ref="CQ58">IF($C58="","",_xlfn.LET(
_xlpm.r,SUMPRODUCT((ISNUMBER(SEARCH($C58,$C$6:$C$55)))*(CQ$6:CQ$55)/(LEN($C$6:$C$55)-LEN(SUBSTITUTE($C$6:$C$55,CHAR(10),""))+1)),
IF(_xlpm.r=0,"",_xlpm.r)
))</f>
        <v/>
      </c>
      <c r="CR58" s="61" t="str" cm="1">
        <f t="array" ref="CR58">IF($C58="","",_xlfn.LET(
_xlpm.r,SUMPRODUCT((ISNUMBER(SEARCH($C58,$C$6:$C$55)))*(CR$6:CR$55)/(LEN($C$6:$C$55)-LEN(SUBSTITUTE($C$6:$C$55,CHAR(10),""))+1)),
IF(_xlpm.r=0,"",_xlpm.r)
))</f>
        <v/>
      </c>
      <c r="CS58" s="61" t="str" cm="1">
        <f t="array" ref="CS58">IF($C58="","",_xlfn.LET(
_xlpm.r,SUMPRODUCT((ISNUMBER(SEARCH($C58,$C$6:$C$55)))*(CS$6:CS$55)/(LEN($C$6:$C$55)-LEN(SUBSTITUTE($C$6:$C$55,CHAR(10),""))+1)),
IF(_xlpm.r=0,"",_xlpm.r)
))</f>
        <v/>
      </c>
      <c r="CT58" s="61" t="str" cm="1">
        <f t="array" ref="CT58">IF($C58="","",_xlfn.LET(
_xlpm.r,SUMPRODUCT((ISNUMBER(SEARCH($C58,$C$6:$C$55)))*(CT$6:CT$55)/(LEN($C$6:$C$55)-LEN(SUBSTITUTE($C$6:$C$55,CHAR(10),""))+1)),
IF(_xlpm.r=0,"",_xlpm.r)
))</f>
        <v/>
      </c>
      <c r="CU58" s="61" t="str" cm="1">
        <f t="array" ref="CU58">IF($C58="","",_xlfn.LET(
_xlpm.r,SUMPRODUCT((ISNUMBER(SEARCH($C58,$C$6:$C$55)))*(CU$6:CU$55)/(LEN($C$6:$C$55)-LEN(SUBSTITUTE($C$6:$C$55,CHAR(10),""))+1)),
IF(_xlpm.r=0,"",_xlpm.r)
))</f>
        <v/>
      </c>
      <c r="CV58" s="61" t="str" cm="1">
        <f t="array" ref="CV58">IF($C58="","",_xlfn.LET(
_xlpm.r,SUMPRODUCT((ISNUMBER(SEARCH($C58,$C$6:$C$55)))*(CV$6:CV$55)/(LEN($C$6:$C$55)-LEN(SUBSTITUTE($C$6:$C$55,CHAR(10),""))+1)),
IF(_xlpm.r=0,"",_xlpm.r)
))</f>
        <v/>
      </c>
      <c r="CW58" s="61" t="str" cm="1">
        <f t="array" ref="CW58">IF($C58="","",_xlfn.LET(
_xlpm.r,SUMPRODUCT((ISNUMBER(SEARCH($C58,$C$6:$C$55)))*(CW$6:CW$55)/(LEN($C$6:$C$55)-LEN(SUBSTITUTE($C$6:$C$55,CHAR(10),""))+1)),
IF(_xlpm.r=0,"",_xlpm.r)
))</f>
        <v/>
      </c>
      <c r="CX58" s="61" t="str" cm="1">
        <f t="array" ref="CX58">IF($C58="","",_xlfn.LET(
_xlpm.r,SUMPRODUCT((ISNUMBER(SEARCH($C58,$C$6:$C$55)))*(CX$6:CX$55)/(LEN($C$6:$C$55)-LEN(SUBSTITUTE($C$6:$C$55,CHAR(10),""))+1)),
IF(_xlpm.r=0,"",_xlpm.r)
))</f>
        <v/>
      </c>
      <c r="CY58" s="61" t="str" cm="1">
        <f t="array" ref="CY58">IF($C58="","",_xlfn.LET(
_xlpm.r,SUMPRODUCT((ISNUMBER(SEARCH($C58,$C$6:$C$55)))*(CY$6:CY$55)/(LEN($C$6:$C$55)-LEN(SUBSTITUTE($C$6:$C$55,CHAR(10),""))+1)),
IF(_xlpm.r=0,"",_xlpm.r)
))</f>
        <v/>
      </c>
      <c r="CZ58" s="61" t="str" cm="1">
        <f t="array" ref="CZ58">IF($C58="","",_xlfn.LET(
_xlpm.r,SUMPRODUCT((ISNUMBER(SEARCH($C58,$C$6:$C$55)))*(CZ$6:CZ$55)/(LEN($C$6:$C$55)-LEN(SUBSTITUTE($C$6:$C$55,CHAR(10),""))+1)),
IF(_xlpm.r=0,"",_xlpm.r)
))</f>
        <v/>
      </c>
      <c r="DA58" s="61" t="str" cm="1">
        <f t="array" ref="DA58">IF($C58="","",_xlfn.LET(
_xlpm.r,SUMPRODUCT((ISNUMBER(SEARCH($C58,$C$6:$C$55)))*(DA$6:DA$55)/(LEN($C$6:$C$55)-LEN(SUBSTITUTE($C$6:$C$55,CHAR(10),""))+1)),
IF(_xlpm.r=0,"",_xlpm.r)
))</f>
        <v/>
      </c>
      <c r="DB58" s="61" t="str" cm="1">
        <f t="array" ref="DB58">IF($C58="","",_xlfn.LET(
_xlpm.r,SUMPRODUCT((ISNUMBER(SEARCH($C58,$C$6:$C$55)))*(DB$6:DB$55)/(LEN($C$6:$C$55)-LEN(SUBSTITUTE($C$6:$C$55,CHAR(10),""))+1)),
IF(_xlpm.r=0,"",_xlpm.r)
))</f>
        <v/>
      </c>
      <c r="DC58" s="61" t="str" cm="1">
        <f t="array" ref="DC58">IF($C58="","",_xlfn.LET(
_xlpm.r,SUMPRODUCT((ISNUMBER(SEARCH($C58,$C$6:$C$55)))*(DC$6:DC$55)/(LEN($C$6:$C$55)-LEN(SUBSTITUTE($C$6:$C$55,CHAR(10),""))+1)),
IF(_xlpm.r=0,"",_xlpm.r)
))</f>
        <v/>
      </c>
      <c r="DD58" s="61" t="str" cm="1">
        <f t="array" ref="DD58">IF($C58="","",_xlfn.LET(
_xlpm.r,SUMPRODUCT((ISNUMBER(SEARCH($C58,$C$6:$C$55)))*(DD$6:DD$55)/(LEN($C$6:$C$55)-LEN(SUBSTITUTE($C$6:$C$55,CHAR(10),""))+1)),
IF(_xlpm.r=0,"",_xlpm.r)
))</f>
        <v/>
      </c>
    </row>
    <row r="59" spans="1:112" x14ac:dyDescent="0.3">
      <c r="C59" s="3" t="s">
        <v>1</v>
      </c>
      <c r="D59" s="44"/>
      <c r="E59" s="56" t="str" cm="1">
        <f t="array" ref="E59">IF($C59="","",_xlfn.LET(
_xlpm.r,SUMPRODUCT((ISNUMBER(SEARCH($C59,$C$6:$C$55)))*(E$6:E$55)/(LEN($C$6:$C$55)-LEN(SUBSTITUTE($C$6:$C$55,CHAR(10),""))+1)),
IF(_xlpm.r=0,"",_xlpm.r)
))</f>
        <v/>
      </c>
      <c r="F59" s="56" cm="1">
        <f t="array" ref="F59">IF($C59="","",_xlfn.LET(
_xlpm.r,SUMPRODUCT((ISNUMBER(SEARCH($C59,$C$6:$C$55)))*(F$6:F$55)/(LEN($C$6:$C$55)-LEN(SUBSTITUTE($C$6:$C$55,CHAR(10),""))+1)),
IF(_xlpm.r=0,"",_xlpm.r)
))</f>
        <v>3</v>
      </c>
      <c r="G59" s="56" cm="1">
        <f t="array" ref="G59">IF($C59="","",_xlfn.LET(
_xlpm.r,SUMPRODUCT((ISNUMBER(SEARCH($C59,$C$6:$C$55)))*(G$6:G$55)/(LEN($C$6:$C$55)-LEN(SUBSTITUTE($C$6:$C$55,CHAR(10),""))+1)),
IF(_xlpm.r=0,"",_xlpm.r)
))</f>
        <v>3</v>
      </c>
      <c r="H59" s="56" cm="1">
        <f t="array" ref="H59">IF($C59="","",_xlfn.LET(
_xlpm.r,SUMPRODUCT((ISNUMBER(SEARCH($C59,$C$6:$C$55)))*(H$6:H$55)/(LEN($C$6:$C$55)-LEN(SUBSTITUTE($C$6:$C$55,CHAR(10),""))+1)),
IF(_xlpm.r=0,"",_xlpm.r)
))</f>
        <v>6</v>
      </c>
      <c r="I59" s="56" cm="1">
        <f t="array" ref="I59">IF($C59="","",_xlfn.LET(
_xlpm.r,SUMPRODUCT((ISNUMBER(SEARCH($C59,$C$6:$C$55)))*(I$6:I$55)/(LEN($C$6:$C$55)-LEN(SUBSTITUTE($C$6:$C$55,CHAR(10),""))+1)),
IF(_xlpm.r=0,"",_xlpm.r)
))</f>
        <v>3</v>
      </c>
      <c r="J59" s="56" cm="1">
        <f t="array" ref="J59">IF($C59="","",_xlfn.LET(
_xlpm.r,SUMPRODUCT((ISNUMBER(SEARCH($C59,$C$6:$C$55)))*(J$6:J$55)/(LEN($C$6:$C$55)-LEN(SUBSTITUTE($C$6:$C$55,CHAR(10),""))+1)),
IF(_xlpm.r=0,"",_xlpm.r)
))</f>
        <v>3</v>
      </c>
      <c r="K59" s="56" cm="1">
        <f t="array" ref="K59">IF($C59="","",_xlfn.LET(
_xlpm.r,SUMPRODUCT((ISNUMBER(SEARCH($C59,$C$6:$C$55)))*(K$6:K$55)/(LEN($C$6:$C$55)-LEN(SUBSTITUTE($C$6:$C$55,CHAR(10),""))+1)),
IF(_xlpm.r=0,"",_xlpm.r)
))</f>
        <v>3</v>
      </c>
      <c r="L59" s="56" cm="1">
        <f t="array" ref="L59">IF($C59="","",_xlfn.LET(
_xlpm.r,SUMPRODUCT((ISNUMBER(SEARCH($C59,$C$6:$C$55)))*(L$6:L$55)/(LEN($C$6:$C$55)-LEN(SUBSTITUTE($C$6:$C$55,CHAR(10),""))+1)),
IF(_xlpm.r=0,"",_xlpm.r)
))</f>
        <v>3</v>
      </c>
      <c r="M59" s="56" t="str" cm="1">
        <f t="array" ref="M59">IF($C59="","",_xlfn.LET(
_xlpm.r,SUMPRODUCT((ISNUMBER(SEARCH($C59,$C$6:$C$55)))*(M$6:M$55)/(LEN($C$6:$C$55)-LEN(SUBSTITUTE($C$6:$C$55,CHAR(10),""))+1)),
IF(_xlpm.r=0,"",_xlpm.r)
))</f>
        <v/>
      </c>
      <c r="N59" s="56" t="str" cm="1">
        <f t="array" ref="N59">IF($C59="","",_xlfn.LET(
_xlpm.r,SUMPRODUCT((ISNUMBER(SEARCH($C59,$C$6:$C$55)))*(N$6:N$55)/(LEN($C$6:$C$55)-LEN(SUBSTITUTE($C$6:$C$55,CHAR(10),""))+1)),
IF(_xlpm.r=0,"",_xlpm.r)
))</f>
        <v/>
      </c>
      <c r="O59" s="56" t="str" cm="1">
        <f t="array" ref="O59">IF($C59="","",_xlfn.LET(
_xlpm.r,SUMPRODUCT((ISNUMBER(SEARCH($C59,$C$6:$C$55)))*(O$6:O$55)/(LEN($C$6:$C$55)-LEN(SUBSTITUTE($C$6:$C$55,CHAR(10),""))+1)),
IF(_xlpm.r=0,"",_xlpm.r)
))</f>
        <v/>
      </c>
      <c r="P59" s="56" t="str" cm="1">
        <f t="array" ref="P59">IF($C59="","",_xlfn.LET(
_xlpm.r,SUMPRODUCT((ISNUMBER(SEARCH($C59,$C$6:$C$55)))*(P$6:P$55)/(LEN($C$6:$C$55)-LEN(SUBSTITUTE($C$6:$C$55,CHAR(10),""))+1)),
IF(_xlpm.r=0,"",_xlpm.r)
))</f>
        <v/>
      </c>
      <c r="Q59" s="56" t="str" cm="1">
        <f t="array" ref="Q59">IF($C59="","",_xlfn.LET(
_xlpm.r,SUMPRODUCT((ISNUMBER(SEARCH($C59,$C$6:$C$55)))*(Q$6:Q$55)/(LEN($C$6:$C$55)-LEN(SUBSTITUTE($C$6:$C$55,CHAR(10),""))+1)),
IF(_xlpm.r=0,"",_xlpm.r)
))</f>
        <v/>
      </c>
      <c r="R59" s="56" t="str" cm="1">
        <f t="array" ref="R59">IF($C59="","",_xlfn.LET(
_xlpm.r,SUMPRODUCT((ISNUMBER(SEARCH($C59,$C$6:$C$55)))*(R$6:R$55)/(LEN($C$6:$C$55)-LEN(SUBSTITUTE($C$6:$C$55,CHAR(10),""))+1)),
IF(_xlpm.r=0,"",_xlpm.r)
))</f>
        <v/>
      </c>
      <c r="S59" s="56" t="str" cm="1">
        <f t="array" ref="S59">IF($C59="","",_xlfn.LET(
_xlpm.r,SUMPRODUCT((ISNUMBER(SEARCH($C59,$C$6:$C$55)))*(S$6:S$55)/(LEN($C$6:$C$55)-LEN(SUBSTITUTE($C$6:$C$55,CHAR(10),""))+1)),
IF(_xlpm.r=0,"",_xlpm.r)
))</f>
        <v/>
      </c>
      <c r="T59" s="56" t="str" cm="1">
        <f t="array" ref="T59">IF($C59="","",_xlfn.LET(
_xlpm.r,SUMPRODUCT((ISNUMBER(SEARCH($C59,$C$6:$C$55)))*(T$6:T$55)/(LEN($C$6:$C$55)-LEN(SUBSTITUTE($C$6:$C$55,CHAR(10),""))+1)),
IF(_xlpm.r=0,"",_xlpm.r)
))</f>
        <v/>
      </c>
      <c r="U59" s="56" t="str" cm="1">
        <f t="array" ref="U59">IF($C59="","",_xlfn.LET(
_xlpm.r,SUMPRODUCT((ISNUMBER(SEARCH($C59,$C$6:$C$55)))*(U$6:U$55)/(LEN($C$6:$C$55)-LEN(SUBSTITUTE($C$6:$C$55,CHAR(10),""))+1)),
IF(_xlpm.r=0,"",_xlpm.r)
))</f>
        <v/>
      </c>
      <c r="V59" s="56" cm="1">
        <f t="array" ref="V59">IF($C59="","",_xlfn.LET(
_xlpm.r,SUMPRODUCT((ISNUMBER(SEARCH($C59,$C$6:$C$55)))*(V$6:V$55)/(LEN($C$6:$C$55)-LEN(SUBSTITUTE($C$6:$C$55,CHAR(10),""))+1)),
IF(_xlpm.r=0,"",_xlpm.r)
))</f>
        <v>3</v>
      </c>
      <c r="W59" s="56" cm="1">
        <f t="array" ref="W59">IF($C59="","",_xlfn.LET(
_xlpm.r,SUMPRODUCT((ISNUMBER(SEARCH($C59,$C$6:$C$55)))*(W$6:W$55)/(LEN($C$6:$C$55)-LEN(SUBSTITUTE($C$6:$C$55,CHAR(10),""))+1)),
IF(_xlpm.r=0,"",_xlpm.r)
))</f>
        <v>3</v>
      </c>
      <c r="X59" s="56" cm="1">
        <f t="array" ref="X59">IF($C59="","",_xlfn.LET(
_xlpm.r,SUMPRODUCT((ISNUMBER(SEARCH($C59,$C$6:$C$55)))*(X$6:X$55)/(LEN($C$6:$C$55)-LEN(SUBSTITUTE($C$6:$C$55,CHAR(10),""))+1)),
IF(_xlpm.r=0,"",_xlpm.r)
))</f>
        <v>3</v>
      </c>
      <c r="Y59" s="56" cm="1">
        <f t="array" ref="Y59">IF($C59="","",_xlfn.LET(
_xlpm.r,SUMPRODUCT((ISNUMBER(SEARCH($C59,$C$6:$C$55)))*(Y$6:Y$55)/(LEN($C$6:$C$55)-LEN(SUBSTITUTE($C$6:$C$55,CHAR(10),""))+1)),
IF(_xlpm.r=0,"",_xlpm.r)
))</f>
        <v>3</v>
      </c>
      <c r="Z59" s="56" cm="1">
        <f t="array" ref="Z59">IF($C59="","",_xlfn.LET(
_xlpm.r,SUMPRODUCT((ISNUMBER(SEARCH($C59,$C$6:$C$55)))*(Z$6:Z$55)/(LEN($C$6:$C$55)-LEN(SUBSTITUTE($C$6:$C$55,CHAR(10),""))+1)),
IF(_xlpm.r=0,"",_xlpm.r)
))</f>
        <v>3</v>
      </c>
      <c r="AA59" s="56" cm="1">
        <f t="array" ref="AA59">IF($C59="","",_xlfn.LET(
_xlpm.r,SUMPRODUCT((ISNUMBER(SEARCH($C59,$C$6:$C$55)))*(AA$6:AA$55)/(LEN($C$6:$C$55)-LEN(SUBSTITUTE($C$6:$C$55,CHAR(10),""))+1)),
IF(_xlpm.r=0,"",_xlpm.r)
))</f>
        <v>3</v>
      </c>
      <c r="AB59" s="56" cm="1">
        <f t="array" ref="AB59">IF($C59="","",_xlfn.LET(
_xlpm.r,SUMPRODUCT((ISNUMBER(SEARCH($C59,$C$6:$C$55)))*(AB$6:AB$55)/(LEN($C$6:$C$55)-LEN(SUBSTITUTE($C$6:$C$55,CHAR(10),""))+1)),
IF(_xlpm.r=0,"",_xlpm.r)
))</f>
        <v>3</v>
      </c>
      <c r="AC59" s="56" cm="1">
        <f t="array" ref="AC59">IF($C59="","",_xlfn.LET(
_xlpm.r,SUMPRODUCT((ISNUMBER(SEARCH($C59,$C$6:$C$55)))*(AC$6:AC$55)/(LEN($C$6:$C$55)-LEN(SUBSTITUTE($C$6:$C$55,CHAR(10),""))+1)),
IF(_xlpm.r=0,"",_xlpm.r)
))</f>
        <v>3</v>
      </c>
      <c r="AD59" s="56" cm="1">
        <f t="array" ref="AD59">IF($C59="","",_xlfn.LET(
_xlpm.r,SUMPRODUCT((ISNUMBER(SEARCH($C59,$C$6:$C$55)))*(AD$6:AD$55)/(LEN($C$6:$C$55)-LEN(SUBSTITUTE($C$6:$C$55,CHAR(10),""))+1)),
IF(_xlpm.r=0,"",_xlpm.r)
))</f>
        <v>3</v>
      </c>
      <c r="AE59" s="56" cm="1">
        <f t="array" ref="AE59">IF($C59="","",_xlfn.LET(
_xlpm.r,SUMPRODUCT((ISNUMBER(SEARCH($C59,$C$6:$C$55)))*(AE$6:AE$55)/(LEN($C$6:$C$55)-LEN(SUBSTITUTE($C$6:$C$55,CHAR(10),""))+1)),
IF(_xlpm.r=0,"",_xlpm.r)
))</f>
        <v>3</v>
      </c>
      <c r="AF59" s="56" cm="1">
        <f t="array" ref="AF59">IF($C59="","",_xlfn.LET(
_xlpm.r,SUMPRODUCT((ISNUMBER(SEARCH($C59,$C$6:$C$55)))*(AF$6:AF$55)/(LEN($C$6:$C$55)-LEN(SUBSTITUTE($C$6:$C$55,CHAR(10),""))+1)),
IF(_xlpm.r=0,"",_xlpm.r)
))</f>
        <v>3</v>
      </c>
      <c r="AG59" s="56" cm="1">
        <f t="array" ref="AG59">IF($C59="","",_xlfn.LET(
_xlpm.r,SUMPRODUCT((ISNUMBER(SEARCH($C59,$C$6:$C$55)))*(AG$6:AG$55)/(LEN($C$6:$C$55)-LEN(SUBSTITUTE($C$6:$C$55,CHAR(10),""))+1)),
IF(_xlpm.r=0,"",_xlpm.r)
))</f>
        <v>3</v>
      </c>
      <c r="AH59" s="56" t="str" cm="1">
        <f t="array" ref="AH59">IF($C59="","",_xlfn.LET(
_xlpm.r,SUMPRODUCT((ISNUMBER(SEARCH($C59,$C$6:$C$55)))*(AH$6:AH$55)/(LEN($C$6:$C$55)-LEN(SUBSTITUTE($C$6:$C$55,CHAR(10),""))+1)),
IF(_xlpm.r=0,"",_xlpm.r)
))</f>
        <v/>
      </c>
      <c r="AI59" s="56" t="str" cm="1">
        <f t="array" ref="AI59">IF($C59="","",_xlfn.LET(
_xlpm.r,SUMPRODUCT((ISNUMBER(SEARCH($C59,$C$6:$C$55)))*(AI$6:AI$55)/(LEN($C$6:$C$55)-LEN(SUBSTITUTE($C$6:$C$55,CHAR(10),""))+1)),
IF(_xlpm.r=0,"",_xlpm.r)
))</f>
        <v/>
      </c>
      <c r="AJ59" s="56" t="str" cm="1">
        <f t="array" ref="AJ59">IF($C59="","",_xlfn.LET(
_xlpm.r,SUMPRODUCT((ISNUMBER(SEARCH($C59,$C$6:$C$55)))*(AJ$6:AJ$55)/(LEN($C$6:$C$55)-LEN(SUBSTITUTE($C$6:$C$55,CHAR(10),""))+1)),
IF(_xlpm.r=0,"",_xlpm.r)
))</f>
        <v/>
      </c>
      <c r="AK59" s="56" t="str" cm="1">
        <f t="array" ref="AK59">IF($C59="","",_xlfn.LET(
_xlpm.r,SUMPRODUCT((ISNUMBER(SEARCH($C59,$C$6:$C$55)))*(AK$6:AK$55)/(LEN($C$6:$C$55)-LEN(SUBSTITUTE($C$6:$C$55,CHAR(10),""))+1)),
IF(_xlpm.r=0,"",_xlpm.r)
))</f>
        <v/>
      </c>
      <c r="AL59" s="56" t="str" cm="1">
        <f t="array" ref="AL59">IF($C59="","",_xlfn.LET(
_xlpm.r,SUMPRODUCT((ISNUMBER(SEARCH($C59,$C$6:$C$55)))*(AL$6:AL$55)/(LEN($C$6:$C$55)-LEN(SUBSTITUTE($C$6:$C$55,CHAR(10),""))+1)),
IF(_xlpm.r=0,"",_xlpm.r)
))</f>
        <v/>
      </c>
      <c r="AM59" s="56" t="str" cm="1">
        <f t="array" ref="AM59">IF($C59="","",_xlfn.LET(
_xlpm.r,SUMPRODUCT((ISNUMBER(SEARCH($C59,$C$6:$C$55)))*(AM$6:AM$55)/(LEN($C$6:$C$55)-LEN(SUBSTITUTE($C$6:$C$55,CHAR(10),""))+1)),
IF(_xlpm.r=0,"",_xlpm.r)
))</f>
        <v/>
      </c>
      <c r="AN59" s="56" t="str" cm="1">
        <f t="array" ref="AN59">IF($C59="","",_xlfn.LET(
_xlpm.r,SUMPRODUCT((ISNUMBER(SEARCH($C59,$C$6:$C$55)))*(AN$6:AN$55)/(LEN($C$6:$C$55)-LEN(SUBSTITUTE($C$6:$C$55,CHAR(10),""))+1)),
IF(_xlpm.r=0,"",_xlpm.r)
))</f>
        <v/>
      </c>
      <c r="AO59" s="56" t="str" cm="1">
        <f t="array" ref="AO59">IF($C59="","",_xlfn.LET(
_xlpm.r,SUMPRODUCT((ISNUMBER(SEARCH($C59,$C$6:$C$55)))*(AO$6:AO$55)/(LEN($C$6:$C$55)-LEN(SUBSTITUTE($C$6:$C$55,CHAR(10),""))+1)),
IF(_xlpm.r=0,"",_xlpm.r)
))</f>
        <v/>
      </c>
      <c r="AP59" s="56" t="str" cm="1">
        <f t="array" ref="AP59">IF($C59="","",_xlfn.LET(
_xlpm.r,SUMPRODUCT((ISNUMBER(SEARCH($C59,$C$6:$C$55)))*(AP$6:AP$55)/(LEN($C$6:$C$55)-LEN(SUBSTITUTE($C$6:$C$55,CHAR(10),""))+1)),
IF(_xlpm.r=0,"",_xlpm.r)
))</f>
        <v/>
      </c>
      <c r="AQ59" s="56" t="str" cm="1">
        <f t="array" ref="AQ59">IF($C59="","",_xlfn.LET(
_xlpm.r,SUMPRODUCT((ISNUMBER(SEARCH($C59,$C$6:$C$55)))*(AQ$6:AQ$55)/(LEN($C$6:$C$55)-LEN(SUBSTITUTE($C$6:$C$55,CHAR(10),""))+1)),
IF(_xlpm.r=0,"",_xlpm.r)
))</f>
        <v/>
      </c>
      <c r="AR59" s="56" t="str" cm="1">
        <f t="array" ref="AR59">IF($C59="","",_xlfn.LET(
_xlpm.r,SUMPRODUCT((ISNUMBER(SEARCH($C59,$C$6:$C$55)))*(AR$6:AR$55)/(LEN($C$6:$C$55)-LEN(SUBSTITUTE($C$6:$C$55,CHAR(10),""))+1)),
IF(_xlpm.r=0,"",_xlpm.r)
))</f>
        <v/>
      </c>
      <c r="AS59" s="56" t="str" cm="1">
        <f t="array" ref="AS59">IF($C59="","",_xlfn.LET(
_xlpm.r,SUMPRODUCT((ISNUMBER(SEARCH($C59,$C$6:$C$55)))*(AS$6:AS$55)/(LEN($C$6:$C$55)-LEN(SUBSTITUTE($C$6:$C$55,CHAR(10),""))+1)),
IF(_xlpm.r=0,"",_xlpm.r)
))</f>
        <v/>
      </c>
      <c r="AT59" s="56" t="str" cm="1">
        <f t="array" ref="AT59">IF($C59="","",_xlfn.LET(
_xlpm.r,SUMPRODUCT((ISNUMBER(SEARCH($C59,$C$6:$C$55)))*(AT$6:AT$55)/(LEN($C$6:$C$55)-LEN(SUBSTITUTE($C$6:$C$55,CHAR(10),""))+1)),
IF(_xlpm.r=0,"",_xlpm.r)
))</f>
        <v/>
      </c>
      <c r="AU59" s="56" t="str" cm="1">
        <f t="array" ref="AU59">IF($C59="","",_xlfn.LET(
_xlpm.r,SUMPRODUCT((ISNUMBER(SEARCH($C59,$C$6:$C$55)))*(AU$6:AU$55)/(LEN($C$6:$C$55)-LEN(SUBSTITUTE($C$6:$C$55,CHAR(10),""))+1)),
IF(_xlpm.r=0,"",_xlpm.r)
))</f>
        <v/>
      </c>
      <c r="AV59" s="56" t="str" cm="1">
        <f t="array" ref="AV59">IF($C59="","",_xlfn.LET(
_xlpm.r,SUMPRODUCT((ISNUMBER(SEARCH($C59,$C$6:$C$55)))*(AV$6:AV$55)/(LEN($C$6:$C$55)-LEN(SUBSTITUTE($C$6:$C$55,CHAR(10),""))+1)),
IF(_xlpm.r=0,"",_xlpm.r)
))</f>
        <v/>
      </c>
      <c r="AW59" s="56" t="str" cm="1">
        <f t="array" ref="AW59">IF($C59="","",_xlfn.LET(
_xlpm.r,SUMPRODUCT((ISNUMBER(SEARCH($C59,$C$6:$C$55)))*(AW$6:AW$55)/(LEN($C$6:$C$55)-LEN(SUBSTITUTE($C$6:$C$55,CHAR(10),""))+1)),
IF(_xlpm.r=0,"",_xlpm.r)
))</f>
        <v/>
      </c>
      <c r="AX59" s="56" t="str" cm="1">
        <f t="array" ref="AX59">IF($C59="","",_xlfn.LET(
_xlpm.r,SUMPRODUCT((ISNUMBER(SEARCH($C59,$C$6:$C$55)))*(AX$6:AX$55)/(LEN($C$6:$C$55)-LEN(SUBSTITUTE($C$6:$C$55,CHAR(10),""))+1)),
IF(_xlpm.r=0,"",_xlpm.r)
))</f>
        <v/>
      </c>
      <c r="AY59" s="56" t="str" cm="1">
        <f t="array" ref="AY59">IF($C59="","",_xlfn.LET(
_xlpm.r,SUMPRODUCT((ISNUMBER(SEARCH($C59,$C$6:$C$55)))*(AY$6:AY$55)/(LEN($C$6:$C$55)-LEN(SUBSTITUTE($C$6:$C$55,CHAR(10),""))+1)),
IF(_xlpm.r=0,"",_xlpm.r)
))</f>
        <v/>
      </c>
      <c r="AZ59" s="56" t="str" cm="1">
        <f t="array" ref="AZ59">IF($C59="","",_xlfn.LET(
_xlpm.r,SUMPRODUCT((ISNUMBER(SEARCH($C59,$C$6:$C$55)))*(AZ$6:AZ$55)/(LEN($C$6:$C$55)-LEN(SUBSTITUTE($C$6:$C$55,CHAR(10),""))+1)),
IF(_xlpm.r=0,"",_xlpm.r)
))</f>
        <v/>
      </c>
      <c r="BA59" s="56" t="str" cm="1">
        <f t="array" ref="BA59">IF($C59="","",_xlfn.LET(
_xlpm.r,SUMPRODUCT((ISNUMBER(SEARCH($C59,$C$6:$C$55)))*(BA$6:BA$55)/(LEN($C$6:$C$55)-LEN(SUBSTITUTE($C$6:$C$55,CHAR(10),""))+1)),
IF(_xlpm.r=0,"",_xlpm.r)
))</f>
        <v/>
      </c>
      <c r="BB59" s="56" t="str" cm="1">
        <f t="array" ref="BB59">IF($C59="","",_xlfn.LET(
_xlpm.r,SUMPRODUCT((ISNUMBER(SEARCH($C59,$C$6:$C$55)))*(BB$6:BB$55)/(LEN($C$6:$C$55)-LEN(SUBSTITUTE($C$6:$C$55,CHAR(10),""))+1)),
IF(_xlpm.r=0,"",_xlpm.r)
))</f>
        <v/>
      </c>
      <c r="BC59" s="56" t="str" cm="1">
        <f t="array" ref="BC59">IF($C59="","",_xlfn.LET(
_xlpm.r,SUMPRODUCT((ISNUMBER(SEARCH($C59,$C$6:$C$55)))*(BC$6:BC$55)/(LEN($C$6:$C$55)-LEN(SUBSTITUTE($C$6:$C$55,CHAR(10),""))+1)),
IF(_xlpm.r=0,"",_xlpm.r)
))</f>
        <v/>
      </c>
      <c r="BD59" s="56" t="str" cm="1">
        <f t="array" ref="BD59">IF($C59="","",_xlfn.LET(
_xlpm.r,SUMPRODUCT((ISNUMBER(SEARCH($C59,$C$6:$C$55)))*(BD$6:BD$55)/(LEN($C$6:$C$55)-LEN(SUBSTITUTE($C$6:$C$55,CHAR(10),""))+1)),
IF(_xlpm.r=0,"",_xlpm.r)
))</f>
        <v/>
      </c>
      <c r="BE59" s="56" t="str" cm="1">
        <f t="array" ref="BE59">IF($C59="","",_xlfn.LET(
_xlpm.r,SUMPRODUCT((ISNUMBER(SEARCH($C59,$C$6:$C$55)))*(BE$6:BE$55)/(LEN($C$6:$C$55)-LEN(SUBSTITUTE($C$6:$C$55,CHAR(10),""))+1)),
IF(_xlpm.r=0,"",_xlpm.r)
))</f>
        <v/>
      </c>
      <c r="BF59" s="56" t="str" cm="1">
        <f t="array" ref="BF59">IF($C59="","",_xlfn.LET(
_xlpm.r,SUMPRODUCT((ISNUMBER(SEARCH($C59,$C$6:$C$55)))*(BF$6:BF$55)/(LEN($C$6:$C$55)-LEN(SUBSTITUTE($C$6:$C$55,CHAR(10),""))+1)),
IF(_xlpm.r=0,"",_xlpm.r)
))</f>
        <v/>
      </c>
      <c r="BG59" s="56" t="str" cm="1">
        <f t="array" ref="BG59">IF($C59="","",_xlfn.LET(
_xlpm.r,SUMPRODUCT((ISNUMBER(SEARCH($C59,$C$6:$C$55)))*(BG$6:BG$55)/(LEN($C$6:$C$55)-LEN(SUBSTITUTE($C$6:$C$55,CHAR(10),""))+1)),
IF(_xlpm.r=0,"",_xlpm.r)
))</f>
        <v/>
      </c>
      <c r="BH59" s="56" t="str" cm="1">
        <f t="array" ref="BH59">IF($C59="","",_xlfn.LET(
_xlpm.r,SUMPRODUCT((ISNUMBER(SEARCH($C59,$C$6:$C$55)))*(BH$6:BH$55)/(LEN($C$6:$C$55)-LEN(SUBSTITUTE($C$6:$C$55,CHAR(10),""))+1)),
IF(_xlpm.r=0,"",_xlpm.r)
))</f>
        <v/>
      </c>
      <c r="BI59" s="56" t="str" cm="1">
        <f t="array" ref="BI59">IF($C59="","",_xlfn.LET(
_xlpm.r,SUMPRODUCT((ISNUMBER(SEARCH($C59,$C$6:$C$55)))*(BI$6:BI$55)/(LEN($C$6:$C$55)-LEN(SUBSTITUTE($C$6:$C$55,CHAR(10),""))+1)),
IF(_xlpm.r=0,"",_xlpm.r)
))</f>
        <v/>
      </c>
      <c r="BJ59" s="56" t="str" cm="1">
        <f t="array" ref="BJ59">IF($C59="","",_xlfn.LET(
_xlpm.r,SUMPRODUCT((ISNUMBER(SEARCH($C59,$C$6:$C$55)))*(BJ$6:BJ$55)/(LEN($C$6:$C$55)-LEN(SUBSTITUTE($C$6:$C$55,CHAR(10),""))+1)),
IF(_xlpm.r=0,"",_xlpm.r)
))</f>
        <v/>
      </c>
      <c r="BK59" s="56" t="str" cm="1">
        <f t="array" ref="BK59">IF($C59="","",_xlfn.LET(
_xlpm.r,SUMPRODUCT((ISNUMBER(SEARCH($C59,$C$6:$C$55)))*(BK$6:BK$55)/(LEN($C$6:$C$55)-LEN(SUBSTITUTE($C$6:$C$55,CHAR(10),""))+1)),
IF(_xlpm.r=0,"",_xlpm.r)
))</f>
        <v/>
      </c>
      <c r="BL59" s="56" t="str" cm="1">
        <f t="array" ref="BL59">IF($C59="","",_xlfn.LET(
_xlpm.r,SUMPRODUCT((ISNUMBER(SEARCH($C59,$C$6:$C$55)))*(BL$6:BL$55)/(LEN($C$6:$C$55)-LEN(SUBSTITUTE($C$6:$C$55,CHAR(10),""))+1)),
IF(_xlpm.r=0,"",_xlpm.r)
))</f>
        <v/>
      </c>
      <c r="BM59" s="56" t="str" cm="1">
        <f t="array" ref="BM59">IF($C59="","",_xlfn.LET(
_xlpm.r,SUMPRODUCT((ISNUMBER(SEARCH($C59,$C$6:$C$55)))*(BM$6:BM$55)/(LEN($C$6:$C$55)-LEN(SUBSTITUTE($C$6:$C$55,CHAR(10),""))+1)),
IF(_xlpm.r=0,"",_xlpm.r)
))</f>
        <v/>
      </c>
      <c r="BN59" s="56" t="str" cm="1">
        <f t="array" ref="BN59">IF($C59="","",_xlfn.LET(
_xlpm.r,SUMPRODUCT((ISNUMBER(SEARCH($C59,$C$6:$C$55)))*(BN$6:BN$55)/(LEN($C$6:$C$55)-LEN(SUBSTITUTE($C$6:$C$55,CHAR(10),""))+1)),
IF(_xlpm.r=0,"",_xlpm.r)
))</f>
        <v/>
      </c>
      <c r="BO59" s="56" t="str" cm="1">
        <f t="array" ref="BO59">IF($C59="","",_xlfn.LET(
_xlpm.r,SUMPRODUCT((ISNUMBER(SEARCH($C59,$C$6:$C$55)))*(BO$6:BO$55)/(LEN($C$6:$C$55)-LEN(SUBSTITUTE($C$6:$C$55,CHAR(10),""))+1)),
IF(_xlpm.r=0,"",_xlpm.r)
))</f>
        <v/>
      </c>
      <c r="BP59" s="56" t="str" cm="1">
        <f t="array" ref="BP59">IF($C59="","",_xlfn.LET(
_xlpm.r,SUMPRODUCT((ISNUMBER(SEARCH($C59,$C$6:$C$55)))*(BP$6:BP$55)/(LEN($C$6:$C$55)-LEN(SUBSTITUTE($C$6:$C$55,CHAR(10),""))+1)),
IF(_xlpm.r=0,"",_xlpm.r)
))</f>
        <v/>
      </c>
      <c r="BQ59" s="56" t="str" cm="1">
        <f t="array" ref="BQ59">IF($C59="","",_xlfn.LET(
_xlpm.r,SUMPRODUCT((ISNUMBER(SEARCH($C59,$C$6:$C$55)))*(BQ$6:BQ$55)/(LEN($C$6:$C$55)-LEN(SUBSTITUTE($C$6:$C$55,CHAR(10),""))+1)),
IF(_xlpm.r=0,"",_xlpm.r)
))</f>
        <v/>
      </c>
      <c r="BR59" s="56" t="str" cm="1">
        <f t="array" ref="BR59">IF($C59="","",_xlfn.LET(
_xlpm.r,SUMPRODUCT((ISNUMBER(SEARCH($C59,$C$6:$C$55)))*(BR$6:BR$55)/(LEN($C$6:$C$55)-LEN(SUBSTITUTE($C$6:$C$55,CHAR(10),""))+1)),
IF(_xlpm.r=0,"",_xlpm.r)
))</f>
        <v/>
      </c>
      <c r="BS59" s="56" t="str" cm="1">
        <f t="array" ref="BS59">IF($C59="","",_xlfn.LET(
_xlpm.r,SUMPRODUCT((ISNUMBER(SEARCH($C59,$C$6:$C$55)))*(BS$6:BS$55)/(LEN($C$6:$C$55)-LEN(SUBSTITUTE($C$6:$C$55,CHAR(10),""))+1)),
IF(_xlpm.r=0,"",_xlpm.r)
))</f>
        <v/>
      </c>
      <c r="BT59" s="56" t="str" cm="1">
        <f t="array" ref="BT59">IF($C59="","",_xlfn.LET(
_xlpm.r,SUMPRODUCT((ISNUMBER(SEARCH($C59,$C$6:$C$55)))*(BT$6:BT$55)/(LEN($C$6:$C$55)-LEN(SUBSTITUTE($C$6:$C$55,CHAR(10),""))+1)),
IF(_xlpm.r=0,"",_xlpm.r)
))</f>
        <v/>
      </c>
      <c r="BU59" s="56" t="str" cm="1">
        <f t="array" ref="BU59">IF($C59="","",_xlfn.LET(
_xlpm.r,SUMPRODUCT((ISNUMBER(SEARCH($C59,$C$6:$C$55)))*(BU$6:BU$55)/(LEN($C$6:$C$55)-LEN(SUBSTITUTE($C$6:$C$55,CHAR(10),""))+1)),
IF(_xlpm.r=0,"",_xlpm.r)
))</f>
        <v/>
      </c>
      <c r="BV59" s="56" t="str" cm="1">
        <f t="array" ref="BV59">IF($C59="","",_xlfn.LET(
_xlpm.r,SUMPRODUCT((ISNUMBER(SEARCH($C59,$C$6:$C$55)))*(BV$6:BV$55)/(LEN($C$6:$C$55)-LEN(SUBSTITUTE($C$6:$C$55,CHAR(10),""))+1)),
IF(_xlpm.r=0,"",_xlpm.r)
))</f>
        <v/>
      </c>
      <c r="BW59" s="56" t="str" cm="1">
        <f t="array" ref="BW59">IF($C59="","",_xlfn.LET(
_xlpm.r,SUMPRODUCT((ISNUMBER(SEARCH($C59,$C$6:$C$55)))*(BW$6:BW$55)/(LEN($C$6:$C$55)-LEN(SUBSTITUTE($C$6:$C$55,CHAR(10),""))+1)),
IF(_xlpm.r=0,"",_xlpm.r)
))</f>
        <v/>
      </c>
      <c r="BX59" s="56" t="str" cm="1">
        <f t="array" ref="BX59">IF($C59="","",_xlfn.LET(
_xlpm.r,SUMPRODUCT((ISNUMBER(SEARCH($C59,$C$6:$C$55)))*(BX$6:BX$55)/(LEN($C$6:$C$55)-LEN(SUBSTITUTE($C$6:$C$55,CHAR(10),""))+1)),
IF(_xlpm.r=0,"",_xlpm.r)
))</f>
        <v/>
      </c>
      <c r="BY59" s="56" t="str" cm="1">
        <f t="array" ref="BY59">IF($C59="","",_xlfn.LET(
_xlpm.r,SUMPRODUCT((ISNUMBER(SEARCH($C59,$C$6:$C$55)))*(BY$6:BY$55)/(LEN($C$6:$C$55)-LEN(SUBSTITUTE($C$6:$C$55,CHAR(10),""))+1)),
IF(_xlpm.r=0,"",_xlpm.r)
))</f>
        <v/>
      </c>
      <c r="BZ59" s="56" t="str" cm="1">
        <f t="array" ref="BZ59">IF($C59="","",_xlfn.LET(
_xlpm.r,SUMPRODUCT((ISNUMBER(SEARCH($C59,$C$6:$C$55)))*(BZ$6:BZ$55)/(LEN($C$6:$C$55)-LEN(SUBSTITUTE($C$6:$C$55,CHAR(10),""))+1)),
IF(_xlpm.r=0,"",_xlpm.r)
))</f>
        <v/>
      </c>
      <c r="CA59" s="56" t="str" cm="1">
        <f t="array" ref="CA59">IF($C59="","",_xlfn.LET(
_xlpm.r,SUMPRODUCT((ISNUMBER(SEARCH($C59,$C$6:$C$55)))*(CA$6:CA$55)/(LEN($C$6:$C$55)-LEN(SUBSTITUTE($C$6:$C$55,CHAR(10),""))+1)),
IF(_xlpm.r=0,"",_xlpm.r)
))</f>
        <v/>
      </c>
      <c r="CB59" s="56" t="str" cm="1">
        <f t="array" ref="CB59">IF($C59="","",_xlfn.LET(
_xlpm.r,SUMPRODUCT((ISNUMBER(SEARCH($C59,$C$6:$C$55)))*(CB$6:CB$55)/(LEN($C$6:$C$55)-LEN(SUBSTITUTE($C$6:$C$55,CHAR(10),""))+1)),
IF(_xlpm.r=0,"",_xlpm.r)
))</f>
        <v/>
      </c>
      <c r="CC59" s="56" t="str" cm="1">
        <f t="array" ref="CC59">IF($C59="","",_xlfn.LET(
_xlpm.r,SUMPRODUCT((ISNUMBER(SEARCH($C59,$C$6:$C$55)))*(CC$6:CC$55)/(LEN($C$6:$C$55)-LEN(SUBSTITUTE($C$6:$C$55,CHAR(10),""))+1)),
IF(_xlpm.r=0,"",_xlpm.r)
))</f>
        <v/>
      </c>
      <c r="CD59" s="56" t="str" cm="1">
        <f t="array" ref="CD59">IF($C59="","",_xlfn.LET(
_xlpm.r,SUMPRODUCT((ISNUMBER(SEARCH($C59,$C$6:$C$55)))*(CD$6:CD$55)/(LEN($C$6:$C$55)-LEN(SUBSTITUTE($C$6:$C$55,CHAR(10),""))+1)),
IF(_xlpm.r=0,"",_xlpm.r)
))</f>
        <v/>
      </c>
      <c r="CE59" s="56" t="str" cm="1">
        <f t="array" ref="CE59">IF($C59="","",_xlfn.LET(
_xlpm.r,SUMPRODUCT((ISNUMBER(SEARCH($C59,$C$6:$C$55)))*(CE$6:CE$55)/(LEN($C$6:$C$55)-LEN(SUBSTITUTE($C$6:$C$55,CHAR(10),""))+1)),
IF(_xlpm.r=0,"",_xlpm.r)
))</f>
        <v/>
      </c>
      <c r="CF59" s="56" t="str" cm="1">
        <f t="array" ref="CF59">IF($C59="","",_xlfn.LET(
_xlpm.r,SUMPRODUCT((ISNUMBER(SEARCH($C59,$C$6:$C$55)))*(CF$6:CF$55)/(LEN($C$6:$C$55)-LEN(SUBSTITUTE($C$6:$C$55,CHAR(10),""))+1)),
IF(_xlpm.r=0,"",_xlpm.r)
))</f>
        <v/>
      </c>
      <c r="CG59" s="56" t="str" cm="1">
        <f t="array" ref="CG59">IF($C59="","",_xlfn.LET(
_xlpm.r,SUMPRODUCT((ISNUMBER(SEARCH($C59,$C$6:$C$55)))*(CG$6:CG$55)/(LEN($C$6:$C$55)-LEN(SUBSTITUTE($C$6:$C$55,CHAR(10),""))+1)),
IF(_xlpm.r=0,"",_xlpm.r)
))</f>
        <v/>
      </c>
      <c r="CH59" s="56" t="str" cm="1">
        <f t="array" ref="CH59">IF($C59="","",_xlfn.LET(
_xlpm.r,SUMPRODUCT((ISNUMBER(SEARCH($C59,$C$6:$C$55)))*(CH$6:CH$55)/(LEN($C$6:$C$55)-LEN(SUBSTITUTE($C$6:$C$55,CHAR(10),""))+1)),
IF(_xlpm.r=0,"",_xlpm.r)
))</f>
        <v/>
      </c>
      <c r="CI59" s="56" t="str" cm="1">
        <f t="array" ref="CI59">IF($C59="","",_xlfn.LET(
_xlpm.r,SUMPRODUCT((ISNUMBER(SEARCH($C59,$C$6:$C$55)))*(CI$6:CI$55)/(LEN($C$6:$C$55)-LEN(SUBSTITUTE($C$6:$C$55,CHAR(10),""))+1)),
IF(_xlpm.r=0,"",_xlpm.r)
))</f>
        <v/>
      </c>
      <c r="CJ59" s="56" t="str" cm="1">
        <f t="array" ref="CJ59">IF($C59="","",_xlfn.LET(
_xlpm.r,SUMPRODUCT((ISNUMBER(SEARCH($C59,$C$6:$C$55)))*(CJ$6:CJ$55)/(LEN($C$6:$C$55)-LEN(SUBSTITUTE($C$6:$C$55,CHAR(10),""))+1)),
IF(_xlpm.r=0,"",_xlpm.r)
))</f>
        <v/>
      </c>
      <c r="CK59" s="56" t="str" cm="1">
        <f t="array" ref="CK59">IF($C59="","",_xlfn.LET(
_xlpm.r,SUMPRODUCT((ISNUMBER(SEARCH($C59,$C$6:$C$55)))*(CK$6:CK$55)/(LEN($C$6:$C$55)-LEN(SUBSTITUTE($C$6:$C$55,CHAR(10),""))+1)),
IF(_xlpm.r=0,"",_xlpm.r)
))</f>
        <v/>
      </c>
      <c r="CL59" s="56" t="str" cm="1">
        <f t="array" ref="CL59">IF($C59="","",_xlfn.LET(
_xlpm.r,SUMPRODUCT((ISNUMBER(SEARCH($C59,$C$6:$C$55)))*(CL$6:CL$55)/(LEN($C$6:$C$55)-LEN(SUBSTITUTE($C$6:$C$55,CHAR(10),""))+1)),
IF(_xlpm.r=0,"",_xlpm.r)
))</f>
        <v/>
      </c>
      <c r="CM59" s="56" t="str" cm="1">
        <f t="array" ref="CM59">IF($C59="","",_xlfn.LET(
_xlpm.r,SUMPRODUCT((ISNUMBER(SEARCH($C59,$C$6:$C$55)))*(CM$6:CM$55)/(LEN($C$6:$C$55)-LEN(SUBSTITUTE($C$6:$C$55,CHAR(10),""))+1)),
IF(_xlpm.r=0,"",_xlpm.r)
))</f>
        <v/>
      </c>
      <c r="CN59" s="56" t="str" cm="1">
        <f t="array" ref="CN59">IF($C59="","",_xlfn.LET(
_xlpm.r,SUMPRODUCT((ISNUMBER(SEARCH($C59,$C$6:$C$55)))*(CN$6:CN$55)/(LEN($C$6:$C$55)-LEN(SUBSTITUTE($C$6:$C$55,CHAR(10),""))+1)),
IF(_xlpm.r=0,"",_xlpm.r)
))</f>
        <v/>
      </c>
      <c r="CO59" s="56" t="str" cm="1">
        <f t="array" ref="CO59">IF($C59="","",_xlfn.LET(
_xlpm.r,SUMPRODUCT((ISNUMBER(SEARCH($C59,$C$6:$C$55)))*(CO$6:CO$55)/(LEN($C$6:$C$55)-LEN(SUBSTITUTE($C$6:$C$55,CHAR(10),""))+1)),
IF(_xlpm.r=0,"",_xlpm.r)
))</f>
        <v/>
      </c>
      <c r="CP59" s="56" t="str" cm="1">
        <f t="array" ref="CP59">IF($C59="","",_xlfn.LET(
_xlpm.r,SUMPRODUCT((ISNUMBER(SEARCH($C59,$C$6:$C$55)))*(CP$6:CP$55)/(LEN($C$6:$C$55)-LEN(SUBSTITUTE($C$6:$C$55,CHAR(10),""))+1)),
IF(_xlpm.r=0,"",_xlpm.r)
))</f>
        <v/>
      </c>
      <c r="CQ59" s="56" t="str" cm="1">
        <f t="array" ref="CQ59">IF($C59="","",_xlfn.LET(
_xlpm.r,SUMPRODUCT((ISNUMBER(SEARCH($C59,$C$6:$C$55)))*(CQ$6:CQ$55)/(LEN($C$6:$C$55)-LEN(SUBSTITUTE($C$6:$C$55,CHAR(10),""))+1)),
IF(_xlpm.r=0,"",_xlpm.r)
))</f>
        <v/>
      </c>
      <c r="CR59" s="56" t="str" cm="1">
        <f t="array" ref="CR59">IF($C59="","",_xlfn.LET(
_xlpm.r,SUMPRODUCT((ISNUMBER(SEARCH($C59,$C$6:$C$55)))*(CR$6:CR$55)/(LEN($C$6:$C$55)-LEN(SUBSTITUTE($C$6:$C$55,CHAR(10),""))+1)),
IF(_xlpm.r=0,"",_xlpm.r)
))</f>
        <v/>
      </c>
      <c r="CS59" s="56" t="str" cm="1">
        <f t="array" ref="CS59">IF($C59="","",_xlfn.LET(
_xlpm.r,SUMPRODUCT((ISNUMBER(SEARCH($C59,$C$6:$C$55)))*(CS$6:CS$55)/(LEN($C$6:$C$55)-LEN(SUBSTITUTE($C$6:$C$55,CHAR(10),""))+1)),
IF(_xlpm.r=0,"",_xlpm.r)
))</f>
        <v/>
      </c>
      <c r="CT59" s="56" t="str" cm="1">
        <f t="array" ref="CT59">IF($C59="","",_xlfn.LET(
_xlpm.r,SUMPRODUCT((ISNUMBER(SEARCH($C59,$C$6:$C$55)))*(CT$6:CT$55)/(LEN($C$6:$C$55)-LEN(SUBSTITUTE($C$6:$C$55,CHAR(10),""))+1)),
IF(_xlpm.r=0,"",_xlpm.r)
))</f>
        <v/>
      </c>
      <c r="CU59" s="56" t="str" cm="1">
        <f t="array" ref="CU59">IF($C59="","",_xlfn.LET(
_xlpm.r,SUMPRODUCT((ISNUMBER(SEARCH($C59,$C$6:$C$55)))*(CU$6:CU$55)/(LEN($C$6:$C$55)-LEN(SUBSTITUTE($C$6:$C$55,CHAR(10),""))+1)),
IF(_xlpm.r=0,"",_xlpm.r)
))</f>
        <v/>
      </c>
      <c r="CV59" s="56" t="str" cm="1">
        <f t="array" ref="CV59">IF($C59="","",_xlfn.LET(
_xlpm.r,SUMPRODUCT((ISNUMBER(SEARCH($C59,$C$6:$C$55)))*(CV$6:CV$55)/(LEN($C$6:$C$55)-LEN(SUBSTITUTE($C$6:$C$55,CHAR(10),""))+1)),
IF(_xlpm.r=0,"",_xlpm.r)
))</f>
        <v/>
      </c>
      <c r="CW59" s="56" t="str" cm="1">
        <f t="array" ref="CW59">IF($C59="","",_xlfn.LET(
_xlpm.r,SUMPRODUCT((ISNUMBER(SEARCH($C59,$C$6:$C$55)))*(CW$6:CW$55)/(LEN($C$6:$C$55)-LEN(SUBSTITUTE($C$6:$C$55,CHAR(10),""))+1)),
IF(_xlpm.r=0,"",_xlpm.r)
))</f>
        <v/>
      </c>
      <c r="CX59" s="56" t="str" cm="1">
        <f t="array" ref="CX59">IF($C59="","",_xlfn.LET(
_xlpm.r,SUMPRODUCT((ISNUMBER(SEARCH($C59,$C$6:$C$55)))*(CX$6:CX$55)/(LEN($C$6:$C$55)-LEN(SUBSTITUTE($C$6:$C$55,CHAR(10),""))+1)),
IF(_xlpm.r=0,"",_xlpm.r)
))</f>
        <v/>
      </c>
      <c r="CY59" s="56" t="str" cm="1">
        <f t="array" ref="CY59">IF($C59="","",_xlfn.LET(
_xlpm.r,SUMPRODUCT((ISNUMBER(SEARCH($C59,$C$6:$C$55)))*(CY$6:CY$55)/(LEN($C$6:$C$55)-LEN(SUBSTITUTE($C$6:$C$55,CHAR(10),""))+1)),
IF(_xlpm.r=0,"",_xlpm.r)
))</f>
        <v/>
      </c>
      <c r="CZ59" s="56" t="str" cm="1">
        <f t="array" ref="CZ59">IF($C59="","",_xlfn.LET(
_xlpm.r,SUMPRODUCT((ISNUMBER(SEARCH($C59,$C$6:$C$55)))*(CZ$6:CZ$55)/(LEN($C$6:$C$55)-LEN(SUBSTITUTE($C$6:$C$55,CHAR(10),""))+1)),
IF(_xlpm.r=0,"",_xlpm.r)
))</f>
        <v/>
      </c>
      <c r="DA59" s="56" t="str" cm="1">
        <f t="array" ref="DA59">IF($C59="","",_xlfn.LET(
_xlpm.r,SUMPRODUCT((ISNUMBER(SEARCH($C59,$C$6:$C$55)))*(DA$6:DA$55)/(LEN($C$6:$C$55)-LEN(SUBSTITUTE($C$6:$C$55,CHAR(10),""))+1)),
IF(_xlpm.r=0,"",_xlpm.r)
))</f>
        <v/>
      </c>
      <c r="DB59" s="56" t="str" cm="1">
        <f t="array" ref="DB59">IF($C59="","",_xlfn.LET(
_xlpm.r,SUMPRODUCT((ISNUMBER(SEARCH($C59,$C$6:$C$55)))*(DB$6:DB$55)/(LEN($C$6:$C$55)-LEN(SUBSTITUTE($C$6:$C$55,CHAR(10),""))+1)),
IF(_xlpm.r=0,"",_xlpm.r)
))</f>
        <v/>
      </c>
      <c r="DC59" s="56" t="str" cm="1">
        <f t="array" ref="DC59">IF($C59="","",_xlfn.LET(
_xlpm.r,SUMPRODUCT((ISNUMBER(SEARCH($C59,$C$6:$C$55)))*(DC$6:DC$55)/(LEN($C$6:$C$55)-LEN(SUBSTITUTE($C$6:$C$55,CHAR(10),""))+1)),
IF(_xlpm.r=0,"",_xlpm.r)
))</f>
        <v/>
      </c>
      <c r="DD59" s="56" t="str" cm="1">
        <f t="array" ref="DD59">IF($C59="","",_xlfn.LET(
_xlpm.r,SUMPRODUCT((ISNUMBER(SEARCH($C59,$C$6:$C$55)))*(DD$6:DD$55)/(LEN($C$6:$C$55)-LEN(SUBSTITUTE($C$6:$C$55,CHAR(10),""))+1)),
IF(_xlpm.r=0,"",_xlpm.r)
))</f>
        <v/>
      </c>
    </row>
    <row r="60" spans="1:112" x14ac:dyDescent="0.3">
      <c r="C60" s="63" t="s">
        <v>152</v>
      </c>
      <c r="D60" s="64"/>
      <c r="E60" s="61" t="str" cm="1">
        <f t="array" ref="E60">IF($C60="","",_xlfn.LET(
_xlpm.r,SUMPRODUCT((ISNUMBER(SEARCH($C60,$C$6:$C$55)))*(E$6:E$55)/(LEN($C$6:$C$55)-LEN(SUBSTITUTE($C$6:$C$55,CHAR(10),""))+1)),
IF(_xlpm.r=0,"",_xlpm.r)
))</f>
        <v/>
      </c>
      <c r="F60" s="61" cm="1">
        <f t="array" ref="F60">IF($C60="","",_xlfn.LET(
_xlpm.r,SUMPRODUCT((ISNUMBER(SEARCH($C60,$C$6:$C$55)))*(F$6:F$55)/(LEN($C$6:$C$55)-LEN(SUBSTITUTE($C$6:$C$55,CHAR(10),""))+1)),
IF(_xlpm.r=0,"",_xlpm.r)
))</f>
        <v>1</v>
      </c>
      <c r="G60" s="61" cm="1">
        <f t="array" ref="G60">IF($C60="","",_xlfn.LET(
_xlpm.r,SUMPRODUCT((ISNUMBER(SEARCH($C60,$C$6:$C$55)))*(G$6:G$55)/(LEN($C$6:$C$55)-LEN(SUBSTITUTE($C$6:$C$55,CHAR(10),""))+1)),
IF(_xlpm.r=0,"",_xlpm.r)
))</f>
        <v>1</v>
      </c>
      <c r="H60" s="61" cm="1">
        <f t="array" ref="H60">IF($C60="","",_xlfn.LET(
_xlpm.r,SUMPRODUCT((ISNUMBER(SEARCH($C60,$C$6:$C$55)))*(H$6:H$55)/(LEN($C$6:$C$55)-LEN(SUBSTITUTE($C$6:$C$55,CHAR(10),""))+1)),
IF(_xlpm.r=0,"",_xlpm.r)
))</f>
        <v>1</v>
      </c>
      <c r="I60" s="61" cm="1">
        <f t="array" ref="I60">IF($C60="","",_xlfn.LET(
_xlpm.r,SUMPRODUCT((ISNUMBER(SEARCH($C60,$C$6:$C$55)))*(I$6:I$55)/(LEN($C$6:$C$55)-LEN(SUBSTITUTE($C$6:$C$55,CHAR(10),""))+1)),
IF(_xlpm.r=0,"",_xlpm.r)
))</f>
        <v>1</v>
      </c>
      <c r="J60" s="61" cm="1">
        <f t="array" ref="J60">IF($C60="","",_xlfn.LET(
_xlpm.r,SUMPRODUCT((ISNUMBER(SEARCH($C60,$C$6:$C$55)))*(J$6:J$55)/(LEN($C$6:$C$55)-LEN(SUBSTITUTE($C$6:$C$55,CHAR(10),""))+1)),
IF(_xlpm.r=0,"",_xlpm.r)
))</f>
        <v>1</v>
      </c>
      <c r="K60" s="61" cm="1">
        <f t="array" ref="K60">IF($C60="","",_xlfn.LET(
_xlpm.r,SUMPRODUCT((ISNUMBER(SEARCH($C60,$C$6:$C$55)))*(K$6:K$55)/(LEN($C$6:$C$55)-LEN(SUBSTITUTE($C$6:$C$55,CHAR(10),""))+1)),
IF(_xlpm.r=0,"",_xlpm.r)
))</f>
        <v>1</v>
      </c>
      <c r="L60" s="61" cm="1">
        <f t="array" ref="L60">IF($C60="","",_xlfn.LET(
_xlpm.r,SUMPRODUCT((ISNUMBER(SEARCH($C60,$C$6:$C$55)))*(L$6:L$55)/(LEN($C$6:$C$55)-LEN(SUBSTITUTE($C$6:$C$55,CHAR(10),""))+1)),
IF(_xlpm.r=0,"",_xlpm.r)
))</f>
        <v>1</v>
      </c>
      <c r="M60" s="61" t="str" cm="1">
        <f t="array" ref="M60">IF($C60="","",_xlfn.LET(
_xlpm.r,SUMPRODUCT((ISNUMBER(SEARCH($C60,$C$6:$C$55)))*(M$6:M$55)/(LEN($C$6:$C$55)-LEN(SUBSTITUTE($C$6:$C$55,CHAR(10),""))+1)),
IF(_xlpm.r=0,"",_xlpm.r)
))</f>
        <v/>
      </c>
      <c r="N60" s="61" t="str" cm="1">
        <f t="array" ref="N60">IF($C60="","",_xlfn.LET(
_xlpm.r,SUMPRODUCT((ISNUMBER(SEARCH($C60,$C$6:$C$55)))*(N$6:N$55)/(LEN($C$6:$C$55)-LEN(SUBSTITUTE($C$6:$C$55,CHAR(10),""))+1)),
IF(_xlpm.r=0,"",_xlpm.r)
))</f>
        <v/>
      </c>
      <c r="O60" s="61" t="str" cm="1">
        <f t="array" ref="O60">IF($C60="","",_xlfn.LET(
_xlpm.r,SUMPRODUCT((ISNUMBER(SEARCH($C60,$C$6:$C$55)))*(O$6:O$55)/(LEN($C$6:$C$55)-LEN(SUBSTITUTE($C$6:$C$55,CHAR(10),""))+1)),
IF(_xlpm.r=0,"",_xlpm.r)
))</f>
        <v/>
      </c>
      <c r="P60" s="61" t="str" cm="1">
        <f t="array" ref="P60">IF($C60="","",_xlfn.LET(
_xlpm.r,SUMPRODUCT((ISNUMBER(SEARCH($C60,$C$6:$C$55)))*(P$6:P$55)/(LEN($C$6:$C$55)-LEN(SUBSTITUTE($C$6:$C$55,CHAR(10),""))+1)),
IF(_xlpm.r=0,"",_xlpm.r)
))</f>
        <v/>
      </c>
      <c r="Q60" s="61" t="str" cm="1">
        <f t="array" ref="Q60">IF($C60="","",_xlfn.LET(
_xlpm.r,SUMPRODUCT((ISNUMBER(SEARCH($C60,$C$6:$C$55)))*(Q$6:Q$55)/(LEN($C$6:$C$55)-LEN(SUBSTITUTE($C$6:$C$55,CHAR(10),""))+1)),
IF(_xlpm.r=0,"",_xlpm.r)
))</f>
        <v/>
      </c>
      <c r="R60" s="61" t="str" cm="1">
        <f t="array" ref="R60">IF($C60="","",_xlfn.LET(
_xlpm.r,SUMPRODUCT((ISNUMBER(SEARCH($C60,$C$6:$C$55)))*(R$6:R$55)/(LEN($C$6:$C$55)-LEN(SUBSTITUTE($C$6:$C$55,CHAR(10),""))+1)),
IF(_xlpm.r=0,"",_xlpm.r)
))</f>
        <v/>
      </c>
      <c r="S60" s="61" t="str" cm="1">
        <f t="array" ref="S60">IF($C60="","",_xlfn.LET(
_xlpm.r,SUMPRODUCT((ISNUMBER(SEARCH($C60,$C$6:$C$55)))*(S$6:S$55)/(LEN($C$6:$C$55)-LEN(SUBSTITUTE($C$6:$C$55,CHAR(10),""))+1)),
IF(_xlpm.r=0,"",_xlpm.r)
))</f>
        <v/>
      </c>
      <c r="T60" s="61" t="str" cm="1">
        <f t="array" ref="T60">IF($C60="","",_xlfn.LET(
_xlpm.r,SUMPRODUCT((ISNUMBER(SEARCH($C60,$C$6:$C$55)))*(T$6:T$55)/(LEN($C$6:$C$55)-LEN(SUBSTITUTE($C$6:$C$55,CHAR(10),""))+1)),
IF(_xlpm.r=0,"",_xlpm.r)
))</f>
        <v/>
      </c>
      <c r="U60" s="61" t="str" cm="1">
        <f t="array" ref="U60">IF($C60="","",_xlfn.LET(
_xlpm.r,SUMPRODUCT((ISNUMBER(SEARCH($C60,$C$6:$C$55)))*(U$6:U$55)/(LEN($C$6:$C$55)-LEN(SUBSTITUTE($C$6:$C$55,CHAR(10),""))+1)),
IF(_xlpm.r=0,"",_xlpm.r)
))</f>
        <v/>
      </c>
      <c r="V60" s="61" t="str" cm="1">
        <f t="array" ref="V60">IF($C60="","",_xlfn.LET(
_xlpm.r,SUMPRODUCT((ISNUMBER(SEARCH($C60,$C$6:$C$55)))*(V$6:V$55)/(LEN($C$6:$C$55)-LEN(SUBSTITUTE($C$6:$C$55,CHAR(10),""))+1)),
IF(_xlpm.r=0,"",_xlpm.r)
))</f>
        <v/>
      </c>
      <c r="W60" s="61" t="str" cm="1">
        <f t="array" ref="W60">IF($C60="","",_xlfn.LET(
_xlpm.r,SUMPRODUCT((ISNUMBER(SEARCH($C60,$C$6:$C$55)))*(W$6:W$55)/(LEN($C$6:$C$55)-LEN(SUBSTITUTE($C$6:$C$55,CHAR(10),""))+1)),
IF(_xlpm.r=0,"",_xlpm.r)
))</f>
        <v/>
      </c>
      <c r="X60" s="61" t="str" cm="1">
        <f t="array" ref="X60">IF($C60="","",_xlfn.LET(
_xlpm.r,SUMPRODUCT((ISNUMBER(SEARCH($C60,$C$6:$C$55)))*(X$6:X$55)/(LEN($C$6:$C$55)-LEN(SUBSTITUTE($C$6:$C$55,CHAR(10),""))+1)),
IF(_xlpm.r=0,"",_xlpm.r)
))</f>
        <v/>
      </c>
      <c r="Y60" s="61" t="str" cm="1">
        <f t="array" ref="Y60">IF($C60="","",_xlfn.LET(
_xlpm.r,SUMPRODUCT((ISNUMBER(SEARCH($C60,$C$6:$C$55)))*(Y$6:Y$55)/(LEN($C$6:$C$55)-LEN(SUBSTITUTE($C$6:$C$55,CHAR(10),""))+1)),
IF(_xlpm.r=0,"",_xlpm.r)
))</f>
        <v/>
      </c>
      <c r="Z60" s="61" t="str" cm="1">
        <f t="array" ref="Z60">IF($C60="","",_xlfn.LET(
_xlpm.r,SUMPRODUCT((ISNUMBER(SEARCH($C60,$C$6:$C$55)))*(Z$6:Z$55)/(LEN($C$6:$C$55)-LEN(SUBSTITUTE($C$6:$C$55,CHAR(10),""))+1)),
IF(_xlpm.r=0,"",_xlpm.r)
))</f>
        <v/>
      </c>
      <c r="AA60" s="61" t="str" cm="1">
        <f t="array" ref="AA60">IF($C60="","",_xlfn.LET(
_xlpm.r,SUMPRODUCT((ISNUMBER(SEARCH($C60,$C$6:$C$55)))*(AA$6:AA$55)/(LEN($C$6:$C$55)-LEN(SUBSTITUTE($C$6:$C$55,CHAR(10),""))+1)),
IF(_xlpm.r=0,"",_xlpm.r)
))</f>
        <v/>
      </c>
      <c r="AB60" s="61" t="str" cm="1">
        <f t="array" ref="AB60">IF($C60="","",_xlfn.LET(
_xlpm.r,SUMPRODUCT((ISNUMBER(SEARCH($C60,$C$6:$C$55)))*(AB$6:AB$55)/(LEN($C$6:$C$55)-LEN(SUBSTITUTE($C$6:$C$55,CHAR(10),""))+1)),
IF(_xlpm.r=0,"",_xlpm.r)
))</f>
        <v/>
      </c>
      <c r="AC60" s="61" t="str" cm="1">
        <f t="array" ref="AC60">IF($C60="","",_xlfn.LET(
_xlpm.r,SUMPRODUCT((ISNUMBER(SEARCH($C60,$C$6:$C$55)))*(AC$6:AC$55)/(LEN($C$6:$C$55)-LEN(SUBSTITUTE($C$6:$C$55,CHAR(10),""))+1)),
IF(_xlpm.r=0,"",_xlpm.r)
))</f>
        <v/>
      </c>
      <c r="AD60" s="61" t="str" cm="1">
        <f t="array" ref="AD60">IF($C60="","",_xlfn.LET(
_xlpm.r,SUMPRODUCT((ISNUMBER(SEARCH($C60,$C$6:$C$55)))*(AD$6:AD$55)/(LEN($C$6:$C$55)-LEN(SUBSTITUTE($C$6:$C$55,CHAR(10),""))+1)),
IF(_xlpm.r=0,"",_xlpm.r)
))</f>
        <v/>
      </c>
      <c r="AE60" s="61" t="str" cm="1">
        <f t="array" ref="AE60">IF($C60="","",_xlfn.LET(
_xlpm.r,SUMPRODUCT((ISNUMBER(SEARCH($C60,$C$6:$C$55)))*(AE$6:AE$55)/(LEN($C$6:$C$55)-LEN(SUBSTITUTE($C$6:$C$55,CHAR(10),""))+1)),
IF(_xlpm.r=0,"",_xlpm.r)
))</f>
        <v/>
      </c>
      <c r="AF60" s="61" t="str" cm="1">
        <f t="array" ref="AF60">IF($C60="","",_xlfn.LET(
_xlpm.r,SUMPRODUCT((ISNUMBER(SEARCH($C60,$C$6:$C$55)))*(AF$6:AF$55)/(LEN($C$6:$C$55)-LEN(SUBSTITUTE($C$6:$C$55,CHAR(10),""))+1)),
IF(_xlpm.r=0,"",_xlpm.r)
))</f>
        <v/>
      </c>
      <c r="AG60" s="61" t="str" cm="1">
        <f t="array" ref="AG60">IF($C60="","",_xlfn.LET(
_xlpm.r,SUMPRODUCT((ISNUMBER(SEARCH($C60,$C$6:$C$55)))*(AG$6:AG$55)/(LEN($C$6:$C$55)-LEN(SUBSTITUTE($C$6:$C$55,CHAR(10),""))+1)),
IF(_xlpm.r=0,"",_xlpm.r)
))</f>
        <v/>
      </c>
      <c r="AH60" s="61" t="str" cm="1">
        <f t="array" ref="AH60">IF($C60="","",_xlfn.LET(
_xlpm.r,SUMPRODUCT((ISNUMBER(SEARCH($C60,$C$6:$C$55)))*(AH$6:AH$55)/(LEN($C$6:$C$55)-LEN(SUBSTITUTE($C$6:$C$55,CHAR(10),""))+1)),
IF(_xlpm.r=0,"",_xlpm.r)
))</f>
        <v/>
      </c>
      <c r="AI60" s="61" t="str" cm="1">
        <f t="array" ref="AI60">IF($C60="","",_xlfn.LET(
_xlpm.r,SUMPRODUCT((ISNUMBER(SEARCH($C60,$C$6:$C$55)))*(AI$6:AI$55)/(LEN($C$6:$C$55)-LEN(SUBSTITUTE($C$6:$C$55,CHAR(10),""))+1)),
IF(_xlpm.r=0,"",_xlpm.r)
))</f>
        <v/>
      </c>
      <c r="AJ60" s="61" t="str" cm="1">
        <f t="array" ref="AJ60">IF($C60="","",_xlfn.LET(
_xlpm.r,SUMPRODUCT((ISNUMBER(SEARCH($C60,$C$6:$C$55)))*(AJ$6:AJ$55)/(LEN($C$6:$C$55)-LEN(SUBSTITUTE($C$6:$C$55,CHAR(10),""))+1)),
IF(_xlpm.r=0,"",_xlpm.r)
))</f>
        <v/>
      </c>
      <c r="AK60" s="61" t="str" cm="1">
        <f t="array" ref="AK60">IF($C60="","",_xlfn.LET(
_xlpm.r,SUMPRODUCT((ISNUMBER(SEARCH($C60,$C$6:$C$55)))*(AK$6:AK$55)/(LEN($C$6:$C$55)-LEN(SUBSTITUTE($C$6:$C$55,CHAR(10),""))+1)),
IF(_xlpm.r=0,"",_xlpm.r)
))</f>
        <v/>
      </c>
      <c r="AL60" s="61" t="str" cm="1">
        <f t="array" ref="AL60">IF($C60="","",_xlfn.LET(
_xlpm.r,SUMPRODUCT((ISNUMBER(SEARCH($C60,$C$6:$C$55)))*(AL$6:AL$55)/(LEN($C$6:$C$55)-LEN(SUBSTITUTE($C$6:$C$55,CHAR(10),""))+1)),
IF(_xlpm.r=0,"",_xlpm.r)
))</f>
        <v/>
      </c>
      <c r="AM60" s="61" t="str" cm="1">
        <f t="array" ref="AM60">IF($C60="","",_xlfn.LET(
_xlpm.r,SUMPRODUCT((ISNUMBER(SEARCH($C60,$C$6:$C$55)))*(AM$6:AM$55)/(LEN($C$6:$C$55)-LEN(SUBSTITUTE($C$6:$C$55,CHAR(10),""))+1)),
IF(_xlpm.r=0,"",_xlpm.r)
))</f>
        <v/>
      </c>
      <c r="AN60" s="61" t="str" cm="1">
        <f t="array" ref="AN60">IF($C60="","",_xlfn.LET(
_xlpm.r,SUMPRODUCT((ISNUMBER(SEARCH($C60,$C$6:$C$55)))*(AN$6:AN$55)/(LEN($C$6:$C$55)-LEN(SUBSTITUTE($C$6:$C$55,CHAR(10),""))+1)),
IF(_xlpm.r=0,"",_xlpm.r)
))</f>
        <v/>
      </c>
      <c r="AO60" s="61" t="str" cm="1">
        <f t="array" ref="AO60">IF($C60="","",_xlfn.LET(
_xlpm.r,SUMPRODUCT((ISNUMBER(SEARCH($C60,$C$6:$C$55)))*(AO$6:AO$55)/(LEN($C$6:$C$55)-LEN(SUBSTITUTE($C$6:$C$55,CHAR(10),""))+1)),
IF(_xlpm.r=0,"",_xlpm.r)
))</f>
        <v/>
      </c>
      <c r="AP60" s="61" t="str" cm="1">
        <f t="array" ref="AP60">IF($C60="","",_xlfn.LET(
_xlpm.r,SUMPRODUCT((ISNUMBER(SEARCH($C60,$C$6:$C$55)))*(AP$6:AP$55)/(LEN($C$6:$C$55)-LEN(SUBSTITUTE($C$6:$C$55,CHAR(10),""))+1)),
IF(_xlpm.r=0,"",_xlpm.r)
))</f>
        <v/>
      </c>
      <c r="AQ60" s="61" t="str" cm="1">
        <f t="array" ref="AQ60">IF($C60="","",_xlfn.LET(
_xlpm.r,SUMPRODUCT((ISNUMBER(SEARCH($C60,$C$6:$C$55)))*(AQ$6:AQ$55)/(LEN($C$6:$C$55)-LEN(SUBSTITUTE($C$6:$C$55,CHAR(10),""))+1)),
IF(_xlpm.r=0,"",_xlpm.r)
))</f>
        <v/>
      </c>
      <c r="AR60" s="61" t="str" cm="1">
        <f t="array" ref="AR60">IF($C60="","",_xlfn.LET(
_xlpm.r,SUMPRODUCT((ISNUMBER(SEARCH($C60,$C$6:$C$55)))*(AR$6:AR$55)/(LEN($C$6:$C$55)-LEN(SUBSTITUTE($C$6:$C$55,CHAR(10),""))+1)),
IF(_xlpm.r=0,"",_xlpm.r)
))</f>
        <v/>
      </c>
      <c r="AS60" s="61" t="str" cm="1">
        <f t="array" ref="AS60">IF($C60="","",_xlfn.LET(
_xlpm.r,SUMPRODUCT((ISNUMBER(SEARCH($C60,$C$6:$C$55)))*(AS$6:AS$55)/(LEN($C$6:$C$55)-LEN(SUBSTITUTE($C$6:$C$55,CHAR(10),""))+1)),
IF(_xlpm.r=0,"",_xlpm.r)
))</f>
        <v/>
      </c>
      <c r="AT60" s="61" t="str" cm="1">
        <f t="array" ref="AT60">IF($C60="","",_xlfn.LET(
_xlpm.r,SUMPRODUCT((ISNUMBER(SEARCH($C60,$C$6:$C$55)))*(AT$6:AT$55)/(LEN($C$6:$C$55)-LEN(SUBSTITUTE($C$6:$C$55,CHAR(10),""))+1)),
IF(_xlpm.r=0,"",_xlpm.r)
))</f>
        <v/>
      </c>
      <c r="AU60" s="61" t="str" cm="1">
        <f t="array" ref="AU60">IF($C60="","",_xlfn.LET(
_xlpm.r,SUMPRODUCT((ISNUMBER(SEARCH($C60,$C$6:$C$55)))*(AU$6:AU$55)/(LEN($C$6:$C$55)-LEN(SUBSTITUTE($C$6:$C$55,CHAR(10),""))+1)),
IF(_xlpm.r=0,"",_xlpm.r)
))</f>
        <v/>
      </c>
      <c r="AV60" s="61" t="str" cm="1">
        <f t="array" ref="AV60">IF($C60="","",_xlfn.LET(
_xlpm.r,SUMPRODUCT((ISNUMBER(SEARCH($C60,$C$6:$C$55)))*(AV$6:AV$55)/(LEN($C$6:$C$55)-LEN(SUBSTITUTE($C$6:$C$55,CHAR(10),""))+1)),
IF(_xlpm.r=0,"",_xlpm.r)
))</f>
        <v/>
      </c>
      <c r="AW60" s="61" t="str" cm="1">
        <f t="array" ref="AW60">IF($C60="","",_xlfn.LET(
_xlpm.r,SUMPRODUCT((ISNUMBER(SEARCH($C60,$C$6:$C$55)))*(AW$6:AW$55)/(LEN($C$6:$C$55)-LEN(SUBSTITUTE($C$6:$C$55,CHAR(10),""))+1)),
IF(_xlpm.r=0,"",_xlpm.r)
))</f>
        <v/>
      </c>
      <c r="AX60" s="61" t="str" cm="1">
        <f t="array" ref="AX60">IF($C60="","",_xlfn.LET(
_xlpm.r,SUMPRODUCT((ISNUMBER(SEARCH($C60,$C$6:$C$55)))*(AX$6:AX$55)/(LEN($C$6:$C$55)-LEN(SUBSTITUTE($C$6:$C$55,CHAR(10),""))+1)),
IF(_xlpm.r=0,"",_xlpm.r)
))</f>
        <v/>
      </c>
      <c r="AY60" s="61" t="str" cm="1">
        <f t="array" ref="AY60">IF($C60="","",_xlfn.LET(
_xlpm.r,SUMPRODUCT((ISNUMBER(SEARCH($C60,$C$6:$C$55)))*(AY$6:AY$55)/(LEN($C$6:$C$55)-LEN(SUBSTITUTE($C$6:$C$55,CHAR(10),""))+1)),
IF(_xlpm.r=0,"",_xlpm.r)
))</f>
        <v/>
      </c>
      <c r="AZ60" s="61" t="str" cm="1">
        <f t="array" ref="AZ60">IF($C60="","",_xlfn.LET(
_xlpm.r,SUMPRODUCT((ISNUMBER(SEARCH($C60,$C$6:$C$55)))*(AZ$6:AZ$55)/(LEN($C$6:$C$55)-LEN(SUBSTITUTE($C$6:$C$55,CHAR(10),""))+1)),
IF(_xlpm.r=0,"",_xlpm.r)
))</f>
        <v/>
      </c>
      <c r="BA60" s="61" t="str" cm="1">
        <f t="array" ref="BA60">IF($C60="","",_xlfn.LET(
_xlpm.r,SUMPRODUCT((ISNUMBER(SEARCH($C60,$C$6:$C$55)))*(BA$6:BA$55)/(LEN($C$6:$C$55)-LEN(SUBSTITUTE($C$6:$C$55,CHAR(10),""))+1)),
IF(_xlpm.r=0,"",_xlpm.r)
))</f>
        <v/>
      </c>
      <c r="BB60" s="61" t="str" cm="1">
        <f t="array" ref="BB60">IF($C60="","",_xlfn.LET(
_xlpm.r,SUMPRODUCT((ISNUMBER(SEARCH($C60,$C$6:$C$55)))*(BB$6:BB$55)/(LEN($C$6:$C$55)-LEN(SUBSTITUTE($C$6:$C$55,CHAR(10),""))+1)),
IF(_xlpm.r=0,"",_xlpm.r)
))</f>
        <v/>
      </c>
      <c r="BC60" s="61" t="str" cm="1">
        <f t="array" ref="BC60">IF($C60="","",_xlfn.LET(
_xlpm.r,SUMPRODUCT((ISNUMBER(SEARCH($C60,$C$6:$C$55)))*(BC$6:BC$55)/(LEN($C$6:$C$55)-LEN(SUBSTITUTE($C$6:$C$55,CHAR(10),""))+1)),
IF(_xlpm.r=0,"",_xlpm.r)
))</f>
        <v/>
      </c>
      <c r="BD60" s="61" t="str" cm="1">
        <f t="array" ref="BD60">IF($C60="","",_xlfn.LET(
_xlpm.r,SUMPRODUCT((ISNUMBER(SEARCH($C60,$C$6:$C$55)))*(BD$6:BD$55)/(LEN($C$6:$C$55)-LEN(SUBSTITUTE($C$6:$C$55,CHAR(10),""))+1)),
IF(_xlpm.r=0,"",_xlpm.r)
))</f>
        <v/>
      </c>
      <c r="BE60" s="61" t="str" cm="1">
        <f t="array" ref="BE60">IF($C60="","",_xlfn.LET(
_xlpm.r,SUMPRODUCT((ISNUMBER(SEARCH($C60,$C$6:$C$55)))*(BE$6:BE$55)/(LEN($C$6:$C$55)-LEN(SUBSTITUTE($C$6:$C$55,CHAR(10),""))+1)),
IF(_xlpm.r=0,"",_xlpm.r)
))</f>
        <v/>
      </c>
      <c r="BF60" s="61" t="str" cm="1">
        <f t="array" ref="BF60">IF($C60="","",_xlfn.LET(
_xlpm.r,SUMPRODUCT((ISNUMBER(SEARCH($C60,$C$6:$C$55)))*(BF$6:BF$55)/(LEN($C$6:$C$55)-LEN(SUBSTITUTE($C$6:$C$55,CHAR(10),""))+1)),
IF(_xlpm.r=0,"",_xlpm.r)
))</f>
        <v/>
      </c>
      <c r="BG60" s="61" t="str" cm="1">
        <f t="array" ref="BG60">IF($C60="","",_xlfn.LET(
_xlpm.r,SUMPRODUCT((ISNUMBER(SEARCH($C60,$C$6:$C$55)))*(BG$6:BG$55)/(LEN($C$6:$C$55)-LEN(SUBSTITUTE($C$6:$C$55,CHAR(10),""))+1)),
IF(_xlpm.r=0,"",_xlpm.r)
))</f>
        <v/>
      </c>
      <c r="BH60" s="61" t="str" cm="1">
        <f t="array" ref="BH60">IF($C60="","",_xlfn.LET(
_xlpm.r,SUMPRODUCT((ISNUMBER(SEARCH($C60,$C$6:$C$55)))*(BH$6:BH$55)/(LEN($C$6:$C$55)-LEN(SUBSTITUTE($C$6:$C$55,CHAR(10),""))+1)),
IF(_xlpm.r=0,"",_xlpm.r)
))</f>
        <v/>
      </c>
      <c r="BI60" s="61" t="str" cm="1">
        <f t="array" ref="BI60">IF($C60="","",_xlfn.LET(
_xlpm.r,SUMPRODUCT((ISNUMBER(SEARCH($C60,$C$6:$C$55)))*(BI$6:BI$55)/(LEN($C$6:$C$55)-LEN(SUBSTITUTE($C$6:$C$55,CHAR(10),""))+1)),
IF(_xlpm.r=0,"",_xlpm.r)
))</f>
        <v/>
      </c>
      <c r="BJ60" s="61" t="str" cm="1">
        <f t="array" ref="BJ60">IF($C60="","",_xlfn.LET(
_xlpm.r,SUMPRODUCT((ISNUMBER(SEARCH($C60,$C$6:$C$55)))*(BJ$6:BJ$55)/(LEN($C$6:$C$55)-LEN(SUBSTITUTE($C$6:$C$55,CHAR(10),""))+1)),
IF(_xlpm.r=0,"",_xlpm.r)
))</f>
        <v/>
      </c>
      <c r="BK60" s="61" t="str" cm="1">
        <f t="array" ref="BK60">IF($C60="","",_xlfn.LET(
_xlpm.r,SUMPRODUCT((ISNUMBER(SEARCH($C60,$C$6:$C$55)))*(BK$6:BK$55)/(LEN($C$6:$C$55)-LEN(SUBSTITUTE($C$6:$C$55,CHAR(10),""))+1)),
IF(_xlpm.r=0,"",_xlpm.r)
))</f>
        <v/>
      </c>
      <c r="BL60" s="61" t="str" cm="1">
        <f t="array" ref="BL60">IF($C60="","",_xlfn.LET(
_xlpm.r,SUMPRODUCT((ISNUMBER(SEARCH($C60,$C$6:$C$55)))*(BL$6:BL$55)/(LEN($C$6:$C$55)-LEN(SUBSTITUTE($C$6:$C$55,CHAR(10),""))+1)),
IF(_xlpm.r=0,"",_xlpm.r)
))</f>
        <v/>
      </c>
      <c r="BM60" s="61" t="str" cm="1">
        <f t="array" ref="BM60">IF($C60="","",_xlfn.LET(
_xlpm.r,SUMPRODUCT((ISNUMBER(SEARCH($C60,$C$6:$C$55)))*(BM$6:BM$55)/(LEN($C$6:$C$55)-LEN(SUBSTITUTE($C$6:$C$55,CHAR(10),""))+1)),
IF(_xlpm.r=0,"",_xlpm.r)
))</f>
        <v/>
      </c>
      <c r="BN60" s="61" t="str" cm="1">
        <f t="array" ref="BN60">IF($C60="","",_xlfn.LET(
_xlpm.r,SUMPRODUCT((ISNUMBER(SEARCH($C60,$C$6:$C$55)))*(BN$6:BN$55)/(LEN($C$6:$C$55)-LEN(SUBSTITUTE($C$6:$C$55,CHAR(10),""))+1)),
IF(_xlpm.r=0,"",_xlpm.r)
))</f>
        <v/>
      </c>
      <c r="BO60" s="61" t="str" cm="1">
        <f t="array" ref="BO60">IF($C60="","",_xlfn.LET(
_xlpm.r,SUMPRODUCT((ISNUMBER(SEARCH($C60,$C$6:$C$55)))*(BO$6:BO$55)/(LEN($C$6:$C$55)-LEN(SUBSTITUTE($C$6:$C$55,CHAR(10),""))+1)),
IF(_xlpm.r=0,"",_xlpm.r)
))</f>
        <v/>
      </c>
      <c r="BP60" s="61" t="str" cm="1">
        <f t="array" ref="BP60">IF($C60="","",_xlfn.LET(
_xlpm.r,SUMPRODUCT((ISNUMBER(SEARCH($C60,$C$6:$C$55)))*(BP$6:BP$55)/(LEN($C$6:$C$55)-LEN(SUBSTITUTE($C$6:$C$55,CHAR(10),""))+1)),
IF(_xlpm.r=0,"",_xlpm.r)
))</f>
        <v/>
      </c>
      <c r="BQ60" s="61" t="str" cm="1">
        <f t="array" ref="BQ60">IF($C60="","",_xlfn.LET(
_xlpm.r,SUMPRODUCT((ISNUMBER(SEARCH($C60,$C$6:$C$55)))*(BQ$6:BQ$55)/(LEN($C$6:$C$55)-LEN(SUBSTITUTE($C$6:$C$55,CHAR(10),""))+1)),
IF(_xlpm.r=0,"",_xlpm.r)
))</f>
        <v/>
      </c>
      <c r="BR60" s="61" t="str" cm="1">
        <f t="array" ref="BR60">IF($C60="","",_xlfn.LET(
_xlpm.r,SUMPRODUCT((ISNUMBER(SEARCH($C60,$C$6:$C$55)))*(BR$6:BR$55)/(LEN($C$6:$C$55)-LEN(SUBSTITUTE($C$6:$C$55,CHAR(10),""))+1)),
IF(_xlpm.r=0,"",_xlpm.r)
))</f>
        <v/>
      </c>
      <c r="BS60" s="61" t="str" cm="1">
        <f t="array" ref="BS60">IF($C60="","",_xlfn.LET(
_xlpm.r,SUMPRODUCT((ISNUMBER(SEARCH($C60,$C$6:$C$55)))*(BS$6:BS$55)/(LEN($C$6:$C$55)-LEN(SUBSTITUTE($C$6:$C$55,CHAR(10),""))+1)),
IF(_xlpm.r=0,"",_xlpm.r)
))</f>
        <v/>
      </c>
      <c r="BT60" s="61" t="str" cm="1">
        <f t="array" ref="BT60">IF($C60="","",_xlfn.LET(
_xlpm.r,SUMPRODUCT((ISNUMBER(SEARCH($C60,$C$6:$C$55)))*(BT$6:BT$55)/(LEN($C$6:$C$55)-LEN(SUBSTITUTE($C$6:$C$55,CHAR(10),""))+1)),
IF(_xlpm.r=0,"",_xlpm.r)
))</f>
        <v/>
      </c>
      <c r="BU60" s="61" t="str" cm="1">
        <f t="array" ref="BU60">IF($C60="","",_xlfn.LET(
_xlpm.r,SUMPRODUCT((ISNUMBER(SEARCH($C60,$C$6:$C$55)))*(BU$6:BU$55)/(LEN($C$6:$C$55)-LEN(SUBSTITUTE($C$6:$C$55,CHAR(10),""))+1)),
IF(_xlpm.r=0,"",_xlpm.r)
))</f>
        <v/>
      </c>
      <c r="BV60" s="61" t="str" cm="1">
        <f t="array" ref="BV60">IF($C60="","",_xlfn.LET(
_xlpm.r,SUMPRODUCT((ISNUMBER(SEARCH($C60,$C$6:$C$55)))*(BV$6:BV$55)/(LEN($C$6:$C$55)-LEN(SUBSTITUTE($C$6:$C$55,CHAR(10),""))+1)),
IF(_xlpm.r=0,"",_xlpm.r)
))</f>
        <v/>
      </c>
      <c r="BW60" s="61" t="str" cm="1">
        <f t="array" ref="BW60">IF($C60="","",_xlfn.LET(
_xlpm.r,SUMPRODUCT((ISNUMBER(SEARCH($C60,$C$6:$C$55)))*(BW$6:BW$55)/(LEN($C$6:$C$55)-LEN(SUBSTITUTE($C$6:$C$55,CHAR(10),""))+1)),
IF(_xlpm.r=0,"",_xlpm.r)
))</f>
        <v/>
      </c>
      <c r="BX60" s="61" t="str" cm="1">
        <f t="array" ref="BX60">IF($C60="","",_xlfn.LET(
_xlpm.r,SUMPRODUCT((ISNUMBER(SEARCH($C60,$C$6:$C$55)))*(BX$6:BX$55)/(LEN($C$6:$C$55)-LEN(SUBSTITUTE($C$6:$C$55,CHAR(10),""))+1)),
IF(_xlpm.r=0,"",_xlpm.r)
))</f>
        <v/>
      </c>
      <c r="BY60" s="61" t="str" cm="1">
        <f t="array" ref="BY60">IF($C60="","",_xlfn.LET(
_xlpm.r,SUMPRODUCT((ISNUMBER(SEARCH($C60,$C$6:$C$55)))*(BY$6:BY$55)/(LEN($C$6:$C$55)-LEN(SUBSTITUTE($C$6:$C$55,CHAR(10),""))+1)),
IF(_xlpm.r=0,"",_xlpm.r)
))</f>
        <v/>
      </c>
      <c r="BZ60" s="61" t="str" cm="1">
        <f t="array" ref="BZ60">IF($C60="","",_xlfn.LET(
_xlpm.r,SUMPRODUCT((ISNUMBER(SEARCH($C60,$C$6:$C$55)))*(BZ$6:BZ$55)/(LEN($C$6:$C$55)-LEN(SUBSTITUTE($C$6:$C$55,CHAR(10),""))+1)),
IF(_xlpm.r=0,"",_xlpm.r)
))</f>
        <v/>
      </c>
      <c r="CA60" s="61" t="str" cm="1">
        <f t="array" ref="CA60">IF($C60="","",_xlfn.LET(
_xlpm.r,SUMPRODUCT((ISNUMBER(SEARCH($C60,$C$6:$C$55)))*(CA$6:CA$55)/(LEN($C$6:$C$55)-LEN(SUBSTITUTE($C$6:$C$55,CHAR(10),""))+1)),
IF(_xlpm.r=0,"",_xlpm.r)
))</f>
        <v/>
      </c>
      <c r="CB60" s="61" t="str" cm="1">
        <f t="array" ref="CB60">IF($C60="","",_xlfn.LET(
_xlpm.r,SUMPRODUCT((ISNUMBER(SEARCH($C60,$C$6:$C$55)))*(CB$6:CB$55)/(LEN($C$6:$C$55)-LEN(SUBSTITUTE($C$6:$C$55,CHAR(10),""))+1)),
IF(_xlpm.r=0,"",_xlpm.r)
))</f>
        <v/>
      </c>
      <c r="CC60" s="61" t="str" cm="1">
        <f t="array" ref="CC60">IF($C60="","",_xlfn.LET(
_xlpm.r,SUMPRODUCT((ISNUMBER(SEARCH($C60,$C$6:$C$55)))*(CC$6:CC$55)/(LEN($C$6:$C$55)-LEN(SUBSTITUTE($C$6:$C$55,CHAR(10),""))+1)),
IF(_xlpm.r=0,"",_xlpm.r)
))</f>
        <v/>
      </c>
      <c r="CD60" s="61" t="str" cm="1">
        <f t="array" ref="CD60">IF($C60="","",_xlfn.LET(
_xlpm.r,SUMPRODUCT((ISNUMBER(SEARCH($C60,$C$6:$C$55)))*(CD$6:CD$55)/(LEN($C$6:$C$55)-LEN(SUBSTITUTE($C$6:$C$55,CHAR(10),""))+1)),
IF(_xlpm.r=0,"",_xlpm.r)
))</f>
        <v/>
      </c>
      <c r="CE60" s="61" t="str" cm="1">
        <f t="array" ref="CE60">IF($C60="","",_xlfn.LET(
_xlpm.r,SUMPRODUCT((ISNUMBER(SEARCH($C60,$C$6:$C$55)))*(CE$6:CE$55)/(LEN($C$6:$C$55)-LEN(SUBSTITUTE($C$6:$C$55,CHAR(10),""))+1)),
IF(_xlpm.r=0,"",_xlpm.r)
))</f>
        <v/>
      </c>
      <c r="CF60" s="61" t="str" cm="1">
        <f t="array" ref="CF60">IF($C60="","",_xlfn.LET(
_xlpm.r,SUMPRODUCT((ISNUMBER(SEARCH($C60,$C$6:$C$55)))*(CF$6:CF$55)/(LEN($C$6:$C$55)-LEN(SUBSTITUTE($C$6:$C$55,CHAR(10),""))+1)),
IF(_xlpm.r=0,"",_xlpm.r)
))</f>
        <v/>
      </c>
      <c r="CG60" s="61" t="str" cm="1">
        <f t="array" ref="CG60">IF($C60="","",_xlfn.LET(
_xlpm.r,SUMPRODUCT((ISNUMBER(SEARCH($C60,$C$6:$C$55)))*(CG$6:CG$55)/(LEN($C$6:$C$55)-LEN(SUBSTITUTE($C$6:$C$55,CHAR(10),""))+1)),
IF(_xlpm.r=0,"",_xlpm.r)
))</f>
        <v/>
      </c>
      <c r="CH60" s="61" t="str" cm="1">
        <f t="array" ref="CH60">IF($C60="","",_xlfn.LET(
_xlpm.r,SUMPRODUCT((ISNUMBER(SEARCH($C60,$C$6:$C$55)))*(CH$6:CH$55)/(LEN($C$6:$C$55)-LEN(SUBSTITUTE($C$6:$C$55,CHAR(10),""))+1)),
IF(_xlpm.r=0,"",_xlpm.r)
))</f>
        <v/>
      </c>
      <c r="CI60" s="61" t="str" cm="1">
        <f t="array" ref="CI60">IF($C60="","",_xlfn.LET(
_xlpm.r,SUMPRODUCT((ISNUMBER(SEARCH($C60,$C$6:$C$55)))*(CI$6:CI$55)/(LEN($C$6:$C$55)-LEN(SUBSTITUTE($C$6:$C$55,CHAR(10),""))+1)),
IF(_xlpm.r=0,"",_xlpm.r)
))</f>
        <v/>
      </c>
      <c r="CJ60" s="61" t="str" cm="1">
        <f t="array" ref="CJ60">IF($C60="","",_xlfn.LET(
_xlpm.r,SUMPRODUCT((ISNUMBER(SEARCH($C60,$C$6:$C$55)))*(CJ$6:CJ$55)/(LEN($C$6:$C$55)-LEN(SUBSTITUTE($C$6:$C$55,CHAR(10),""))+1)),
IF(_xlpm.r=0,"",_xlpm.r)
))</f>
        <v/>
      </c>
      <c r="CK60" s="61" t="str" cm="1">
        <f t="array" ref="CK60">IF($C60="","",_xlfn.LET(
_xlpm.r,SUMPRODUCT((ISNUMBER(SEARCH($C60,$C$6:$C$55)))*(CK$6:CK$55)/(LEN($C$6:$C$55)-LEN(SUBSTITUTE($C$6:$C$55,CHAR(10),""))+1)),
IF(_xlpm.r=0,"",_xlpm.r)
))</f>
        <v/>
      </c>
      <c r="CL60" s="61" t="str" cm="1">
        <f t="array" ref="CL60">IF($C60="","",_xlfn.LET(
_xlpm.r,SUMPRODUCT((ISNUMBER(SEARCH($C60,$C$6:$C$55)))*(CL$6:CL$55)/(LEN($C$6:$C$55)-LEN(SUBSTITUTE($C$6:$C$55,CHAR(10),""))+1)),
IF(_xlpm.r=0,"",_xlpm.r)
))</f>
        <v/>
      </c>
      <c r="CM60" s="61" t="str" cm="1">
        <f t="array" ref="CM60">IF($C60="","",_xlfn.LET(
_xlpm.r,SUMPRODUCT((ISNUMBER(SEARCH($C60,$C$6:$C$55)))*(CM$6:CM$55)/(LEN($C$6:$C$55)-LEN(SUBSTITUTE($C$6:$C$55,CHAR(10),""))+1)),
IF(_xlpm.r=0,"",_xlpm.r)
))</f>
        <v/>
      </c>
      <c r="CN60" s="61" t="str" cm="1">
        <f t="array" ref="CN60">IF($C60="","",_xlfn.LET(
_xlpm.r,SUMPRODUCT((ISNUMBER(SEARCH($C60,$C$6:$C$55)))*(CN$6:CN$55)/(LEN($C$6:$C$55)-LEN(SUBSTITUTE($C$6:$C$55,CHAR(10),""))+1)),
IF(_xlpm.r=0,"",_xlpm.r)
))</f>
        <v/>
      </c>
      <c r="CO60" s="61" t="str" cm="1">
        <f t="array" ref="CO60">IF($C60="","",_xlfn.LET(
_xlpm.r,SUMPRODUCT((ISNUMBER(SEARCH($C60,$C$6:$C$55)))*(CO$6:CO$55)/(LEN($C$6:$C$55)-LEN(SUBSTITUTE($C$6:$C$55,CHAR(10),""))+1)),
IF(_xlpm.r=0,"",_xlpm.r)
))</f>
        <v/>
      </c>
      <c r="CP60" s="61" t="str" cm="1">
        <f t="array" ref="CP60">IF($C60="","",_xlfn.LET(
_xlpm.r,SUMPRODUCT((ISNUMBER(SEARCH($C60,$C$6:$C$55)))*(CP$6:CP$55)/(LEN($C$6:$C$55)-LEN(SUBSTITUTE($C$6:$C$55,CHAR(10),""))+1)),
IF(_xlpm.r=0,"",_xlpm.r)
))</f>
        <v/>
      </c>
      <c r="CQ60" s="61" t="str" cm="1">
        <f t="array" ref="CQ60">IF($C60="","",_xlfn.LET(
_xlpm.r,SUMPRODUCT((ISNUMBER(SEARCH($C60,$C$6:$C$55)))*(CQ$6:CQ$55)/(LEN($C$6:$C$55)-LEN(SUBSTITUTE($C$6:$C$55,CHAR(10),""))+1)),
IF(_xlpm.r=0,"",_xlpm.r)
))</f>
        <v/>
      </c>
      <c r="CR60" s="61" t="str" cm="1">
        <f t="array" ref="CR60">IF($C60="","",_xlfn.LET(
_xlpm.r,SUMPRODUCT((ISNUMBER(SEARCH($C60,$C$6:$C$55)))*(CR$6:CR$55)/(LEN($C$6:$C$55)-LEN(SUBSTITUTE($C$6:$C$55,CHAR(10),""))+1)),
IF(_xlpm.r=0,"",_xlpm.r)
))</f>
        <v/>
      </c>
      <c r="CS60" s="61" t="str" cm="1">
        <f t="array" ref="CS60">IF($C60="","",_xlfn.LET(
_xlpm.r,SUMPRODUCT((ISNUMBER(SEARCH($C60,$C$6:$C$55)))*(CS$6:CS$55)/(LEN($C$6:$C$55)-LEN(SUBSTITUTE($C$6:$C$55,CHAR(10),""))+1)),
IF(_xlpm.r=0,"",_xlpm.r)
))</f>
        <v/>
      </c>
      <c r="CT60" s="61" t="str" cm="1">
        <f t="array" ref="CT60">IF($C60="","",_xlfn.LET(
_xlpm.r,SUMPRODUCT((ISNUMBER(SEARCH($C60,$C$6:$C$55)))*(CT$6:CT$55)/(LEN($C$6:$C$55)-LEN(SUBSTITUTE($C$6:$C$55,CHAR(10),""))+1)),
IF(_xlpm.r=0,"",_xlpm.r)
))</f>
        <v/>
      </c>
      <c r="CU60" s="61" t="str" cm="1">
        <f t="array" ref="CU60">IF($C60="","",_xlfn.LET(
_xlpm.r,SUMPRODUCT((ISNUMBER(SEARCH($C60,$C$6:$C$55)))*(CU$6:CU$55)/(LEN($C$6:$C$55)-LEN(SUBSTITUTE($C$6:$C$55,CHAR(10),""))+1)),
IF(_xlpm.r=0,"",_xlpm.r)
))</f>
        <v/>
      </c>
      <c r="CV60" s="61" t="str" cm="1">
        <f t="array" ref="CV60">IF($C60="","",_xlfn.LET(
_xlpm.r,SUMPRODUCT((ISNUMBER(SEARCH($C60,$C$6:$C$55)))*(CV$6:CV$55)/(LEN($C$6:$C$55)-LEN(SUBSTITUTE($C$6:$C$55,CHAR(10),""))+1)),
IF(_xlpm.r=0,"",_xlpm.r)
))</f>
        <v/>
      </c>
      <c r="CW60" s="61" t="str" cm="1">
        <f t="array" ref="CW60">IF($C60="","",_xlfn.LET(
_xlpm.r,SUMPRODUCT((ISNUMBER(SEARCH($C60,$C$6:$C$55)))*(CW$6:CW$55)/(LEN($C$6:$C$55)-LEN(SUBSTITUTE($C$6:$C$55,CHAR(10),""))+1)),
IF(_xlpm.r=0,"",_xlpm.r)
))</f>
        <v/>
      </c>
      <c r="CX60" s="61" t="str" cm="1">
        <f t="array" ref="CX60">IF($C60="","",_xlfn.LET(
_xlpm.r,SUMPRODUCT((ISNUMBER(SEARCH($C60,$C$6:$C$55)))*(CX$6:CX$55)/(LEN($C$6:$C$55)-LEN(SUBSTITUTE($C$6:$C$55,CHAR(10),""))+1)),
IF(_xlpm.r=0,"",_xlpm.r)
))</f>
        <v/>
      </c>
      <c r="CY60" s="61" t="str" cm="1">
        <f t="array" ref="CY60">IF($C60="","",_xlfn.LET(
_xlpm.r,SUMPRODUCT((ISNUMBER(SEARCH($C60,$C$6:$C$55)))*(CY$6:CY$55)/(LEN($C$6:$C$55)-LEN(SUBSTITUTE($C$6:$C$55,CHAR(10),""))+1)),
IF(_xlpm.r=0,"",_xlpm.r)
))</f>
        <v/>
      </c>
      <c r="CZ60" s="61" t="str" cm="1">
        <f t="array" ref="CZ60">IF($C60="","",_xlfn.LET(
_xlpm.r,SUMPRODUCT((ISNUMBER(SEARCH($C60,$C$6:$C$55)))*(CZ$6:CZ$55)/(LEN($C$6:$C$55)-LEN(SUBSTITUTE($C$6:$C$55,CHAR(10),""))+1)),
IF(_xlpm.r=0,"",_xlpm.r)
))</f>
        <v/>
      </c>
      <c r="DA60" s="61" t="str" cm="1">
        <f t="array" ref="DA60">IF($C60="","",_xlfn.LET(
_xlpm.r,SUMPRODUCT((ISNUMBER(SEARCH($C60,$C$6:$C$55)))*(DA$6:DA$55)/(LEN($C$6:$C$55)-LEN(SUBSTITUTE($C$6:$C$55,CHAR(10),""))+1)),
IF(_xlpm.r=0,"",_xlpm.r)
))</f>
        <v/>
      </c>
      <c r="DB60" s="61" t="str" cm="1">
        <f t="array" ref="DB60">IF($C60="","",_xlfn.LET(
_xlpm.r,SUMPRODUCT((ISNUMBER(SEARCH($C60,$C$6:$C$55)))*(DB$6:DB$55)/(LEN($C$6:$C$55)-LEN(SUBSTITUTE($C$6:$C$55,CHAR(10),""))+1)),
IF(_xlpm.r=0,"",_xlpm.r)
))</f>
        <v/>
      </c>
      <c r="DC60" s="61" t="str" cm="1">
        <f t="array" ref="DC60">IF($C60="","",_xlfn.LET(
_xlpm.r,SUMPRODUCT((ISNUMBER(SEARCH($C60,$C$6:$C$55)))*(DC$6:DC$55)/(LEN($C$6:$C$55)-LEN(SUBSTITUTE($C$6:$C$55,CHAR(10),""))+1)),
IF(_xlpm.r=0,"",_xlpm.r)
))</f>
        <v/>
      </c>
      <c r="DD60" s="61" t="str" cm="1">
        <f t="array" ref="DD60">IF($C60="","",_xlfn.LET(
_xlpm.r,SUMPRODUCT((ISNUMBER(SEARCH($C60,$C$6:$C$55)))*(DD$6:DD$55)/(LEN($C$6:$C$55)-LEN(SUBSTITUTE($C$6:$C$55,CHAR(10),""))+1)),
IF(_xlpm.r=0,"",_xlpm.r)
))</f>
        <v/>
      </c>
    </row>
    <row r="61" spans="1:112" x14ac:dyDescent="0.3">
      <c r="C61" s="3" t="s">
        <v>129</v>
      </c>
      <c r="D61" s="44"/>
      <c r="E61" s="56" t="str" cm="1">
        <f t="array" ref="E61">IF($C61="","",_xlfn.LET(
_xlpm.r,SUMPRODUCT((ISNUMBER(SEARCH($C61,$C$6:$C$55)))*(E$6:E$55)/(LEN($C$6:$C$55)-LEN(SUBSTITUTE($C$6:$C$55,CHAR(10),""))+1)),
IF(_xlpm.r=0,"",_xlpm.r)
))</f>
        <v/>
      </c>
      <c r="F61" s="56" t="str" cm="1">
        <f t="array" ref="F61">IF($C61="","",_xlfn.LET(
_xlpm.r,SUMPRODUCT((ISNUMBER(SEARCH($C61,$C$6:$C$55)))*(F$6:F$55)/(LEN($C$6:$C$55)-LEN(SUBSTITUTE($C$6:$C$55,CHAR(10),""))+1)),
IF(_xlpm.r=0,"",_xlpm.r)
))</f>
        <v/>
      </c>
      <c r="G61" s="56" cm="1">
        <f t="array" ref="G61">IF($C61="","",_xlfn.LET(
_xlpm.r,SUMPRODUCT((ISNUMBER(SEARCH($C61,$C$6:$C$55)))*(G$6:G$55)/(LEN($C$6:$C$55)-LEN(SUBSTITUTE($C$6:$C$55,CHAR(10),""))+1)),
IF(_xlpm.r=0,"",_xlpm.r)
))</f>
        <v>0.5</v>
      </c>
      <c r="H61" s="56" cm="1">
        <f t="array" ref="H61">IF($C61="","",_xlfn.LET(
_xlpm.r,SUMPRODUCT((ISNUMBER(SEARCH($C61,$C$6:$C$55)))*(H$6:H$55)/(LEN($C$6:$C$55)-LEN(SUBSTITUTE($C$6:$C$55,CHAR(10),""))+1)),
IF(_xlpm.r=0,"",_xlpm.r)
))</f>
        <v>0.5</v>
      </c>
      <c r="I61" s="56" cm="1">
        <f t="array" ref="I61">IF($C61="","",_xlfn.LET(
_xlpm.r,SUMPRODUCT((ISNUMBER(SEARCH($C61,$C$6:$C$55)))*(I$6:I$55)/(LEN($C$6:$C$55)-LEN(SUBSTITUTE($C$6:$C$55,CHAR(10),""))+1)),
IF(_xlpm.r=0,"",_xlpm.r)
))</f>
        <v>2</v>
      </c>
      <c r="J61" s="56" t="str" cm="1">
        <f t="array" ref="J61">IF($C61="","",_xlfn.LET(
_xlpm.r,SUMPRODUCT((ISNUMBER(SEARCH($C61,$C$6:$C$55)))*(J$6:J$55)/(LEN($C$6:$C$55)-LEN(SUBSTITUTE($C$6:$C$55,CHAR(10),""))+1)),
IF(_xlpm.r=0,"",_xlpm.r)
))</f>
        <v/>
      </c>
      <c r="K61" s="56" cm="1">
        <f t="array" ref="K61">IF($C61="","",_xlfn.LET(
_xlpm.r,SUMPRODUCT((ISNUMBER(SEARCH($C61,$C$6:$C$55)))*(K$6:K$55)/(LEN($C$6:$C$55)-LEN(SUBSTITUTE($C$6:$C$55,CHAR(10),""))+1)),
IF(_xlpm.r=0,"",_xlpm.r)
))</f>
        <v>5</v>
      </c>
      <c r="L61" s="56" cm="1">
        <f t="array" ref="L61">IF($C61="","",_xlfn.LET(
_xlpm.r,SUMPRODUCT((ISNUMBER(SEARCH($C61,$C$6:$C$55)))*(L$6:L$55)/(LEN($C$6:$C$55)-LEN(SUBSTITUTE($C$6:$C$55,CHAR(10),""))+1)),
IF(_xlpm.r=0,"",_xlpm.r)
))</f>
        <v>2</v>
      </c>
      <c r="M61" s="56" t="str" cm="1">
        <f t="array" ref="M61">IF($C61="","",_xlfn.LET(
_xlpm.r,SUMPRODUCT((ISNUMBER(SEARCH($C61,$C$6:$C$55)))*(M$6:M$55)/(LEN($C$6:$C$55)-LEN(SUBSTITUTE($C$6:$C$55,CHAR(10),""))+1)),
IF(_xlpm.r=0,"",_xlpm.r)
))</f>
        <v/>
      </c>
      <c r="N61" s="56" t="str" cm="1">
        <f t="array" ref="N61">IF($C61="","",_xlfn.LET(
_xlpm.r,SUMPRODUCT((ISNUMBER(SEARCH($C61,$C$6:$C$55)))*(N$6:N$55)/(LEN($C$6:$C$55)-LEN(SUBSTITUTE($C$6:$C$55,CHAR(10),""))+1)),
IF(_xlpm.r=0,"",_xlpm.r)
))</f>
        <v/>
      </c>
      <c r="O61" s="56" t="str" cm="1">
        <f t="array" ref="O61">IF($C61="","",_xlfn.LET(
_xlpm.r,SUMPRODUCT((ISNUMBER(SEARCH($C61,$C$6:$C$55)))*(O$6:O$55)/(LEN($C$6:$C$55)-LEN(SUBSTITUTE($C$6:$C$55,CHAR(10),""))+1)),
IF(_xlpm.r=0,"",_xlpm.r)
))</f>
        <v/>
      </c>
      <c r="P61" s="56" cm="1">
        <f t="array" ref="P61">IF($C61="","",_xlfn.LET(
_xlpm.r,SUMPRODUCT((ISNUMBER(SEARCH($C61,$C$6:$C$55)))*(P$6:P$55)/(LEN($C$6:$C$55)-LEN(SUBSTITUTE($C$6:$C$55,CHAR(10),""))+1)),
IF(_xlpm.r=0,"",_xlpm.r)
))</f>
        <v>2</v>
      </c>
      <c r="Q61" s="56" cm="1">
        <f t="array" ref="Q61">IF($C61="","",_xlfn.LET(
_xlpm.r,SUMPRODUCT((ISNUMBER(SEARCH($C61,$C$6:$C$55)))*(Q$6:Q$55)/(LEN($C$6:$C$55)-LEN(SUBSTITUTE($C$6:$C$55,CHAR(10),""))+1)),
IF(_xlpm.r=0,"",_xlpm.r)
))</f>
        <v>2.25</v>
      </c>
      <c r="R61" s="56" cm="1">
        <f t="array" ref="R61">IF($C61="","",_xlfn.LET(
_xlpm.r,SUMPRODUCT((ISNUMBER(SEARCH($C61,$C$6:$C$55)))*(R$6:R$55)/(LEN($C$6:$C$55)-LEN(SUBSTITUTE($C$6:$C$55,CHAR(10),""))+1)),
IF(_xlpm.r=0,"",_xlpm.r)
))</f>
        <v>7</v>
      </c>
      <c r="S61" s="56" cm="1">
        <f t="array" ref="S61">IF($C61="","",_xlfn.LET(
_xlpm.r,SUMPRODUCT((ISNUMBER(SEARCH($C61,$C$6:$C$55)))*(S$6:S$55)/(LEN($C$6:$C$55)-LEN(SUBSTITUTE($C$6:$C$55,CHAR(10),""))+1)),
IF(_xlpm.r=0,"",_xlpm.r)
))</f>
        <v>1.5</v>
      </c>
      <c r="T61" s="56" t="str" cm="1">
        <f t="array" ref="T61">IF($C61="","",_xlfn.LET(
_xlpm.r,SUMPRODUCT((ISNUMBER(SEARCH($C61,$C$6:$C$55)))*(T$6:T$55)/(LEN($C$6:$C$55)-LEN(SUBSTITUTE($C$6:$C$55,CHAR(10),""))+1)),
IF(_xlpm.r=0,"",_xlpm.r)
))</f>
        <v/>
      </c>
      <c r="U61" s="56" t="str" cm="1">
        <f t="array" ref="U61">IF($C61="","",_xlfn.LET(
_xlpm.r,SUMPRODUCT((ISNUMBER(SEARCH($C61,$C$6:$C$55)))*(U$6:U$55)/(LEN($C$6:$C$55)-LEN(SUBSTITUTE($C$6:$C$55,CHAR(10),""))+1)),
IF(_xlpm.r=0,"",_xlpm.r)
))</f>
        <v/>
      </c>
      <c r="V61" s="56" t="str" cm="1">
        <f t="array" ref="V61">IF($C61="","",_xlfn.LET(
_xlpm.r,SUMPRODUCT((ISNUMBER(SEARCH($C61,$C$6:$C$55)))*(V$6:V$55)/(LEN($C$6:$C$55)-LEN(SUBSTITUTE($C$6:$C$55,CHAR(10),""))+1)),
IF(_xlpm.r=0,"",_xlpm.r)
))</f>
        <v/>
      </c>
      <c r="W61" s="56" t="str" cm="1">
        <f t="array" ref="W61">IF($C61="","",_xlfn.LET(
_xlpm.r,SUMPRODUCT((ISNUMBER(SEARCH($C61,$C$6:$C$55)))*(W$6:W$55)/(LEN($C$6:$C$55)-LEN(SUBSTITUTE($C$6:$C$55,CHAR(10),""))+1)),
IF(_xlpm.r=0,"",_xlpm.r)
))</f>
        <v/>
      </c>
      <c r="X61" s="56" t="str" cm="1">
        <f t="array" ref="X61">IF($C61="","",_xlfn.LET(
_xlpm.r,SUMPRODUCT((ISNUMBER(SEARCH($C61,$C$6:$C$55)))*(X$6:X$55)/(LEN($C$6:$C$55)-LEN(SUBSTITUTE($C$6:$C$55,CHAR(10),""))+1)),
IF(_xlpm.r=0,"",_xlpm.r)
))</f>
        <v/>
      </c>
      <c r="Y61" s="56" t="str" cm="1">
        <f t="array" ref="Y61">IF($C61="","",_xlfn.LET(
_xlpm.r,SUMPRODUCT((ISNUMBER(SEARCH($C61,$C$6:$C$55)))*(Y$6:Y$55)/(LEN($C$6:$C$55)-LEN(SUBSTITUTE($C$6:$C$55,CHAR(10),""))+1)),
IF(_xlpm.r=0,"",_xlpm.r)
))</f>
        <v/>
      </c>
      <c r="Z61" s="56" t="str" cm="1">
        <f t="array" ref="Z61">IF($C61="","",_xlfn.LET(
_xlpm.r,SUMPRODUCT((ISNUMBER(SEARCH($C61,$C$6:$C$55)))*(Z$6:Z$55)/(LEN($C$6:$C$55)-LEN(SUBSTITUTE($C$6:$C$55,CHAR(10),""))+1)),
IF(_xlpm.r=0,"",_xlpm.r)
))</f>
        <v/>
      </c>
      <c r="AA61" s="56" t="str" cm="1">
        <f t="array" ref="AA61">IF($C61="","",_xlfn.LET(
_xlpm.r,SUMPRODUCT((ISNUMBER(SEARCH($C61,$C$6:$C$55)))*(AA$6:AA$55)/(LEN($C$6:$C$55)-LEN(SUBSTITUTE($C$6:$C$55,CHAR(10),""))+1)),
IF(_xlpm.r=0,"",_xlpm.r)
))</f>
        <v/>
      </c>
      <c r="AB61" s="56" t="str" cm="1">
        <f t="array" ref="AB61">IF($C61="","",_xlfn.LET(
_xlpm.r,SUMPRODUCT((ISNUMBER(SEARCH($C61,$C$6:$C$55)))*(AB$6:AB$55)/(LEN($C$6:$C$55)-LEN(SUBSTITUTE($C$6:$C$55,CHAR(10),""))+1)),
IF(_xlpm.r=0,"",_xlpm.r)
))</f>
        <v/>
      </c>
      <c r="AC61" s="56" t="str" cm="1">
        <f t="array" ref="AC61">IF($C61="","",_xlfn.LET(
_xlpm.r,SUMPRODUCT((ISNUMBER(SEARCH($C61,$C$6:$C$55)))*(AC$6:AC$55)/(LEN($C$6:$C$55)-LEN(SUBSTITUTE($C$6:$C$55,CHAR(10),""))+1)),
IF(_xlpm.r=0,"",_xlpm.r)
))</f>
        <v/>
      </c>
      <c r="AD61" s="56" t="str" cm="1">
        <f t="array" ref="AD61">IF($C61="","",_xlfn.LET(
_xlpm.r,SUMPRODUCT((ISNUMBER(SEARCH($C61,$C$6:$C$55)))*(AD$6:AD$55)/(LEN($C$6:$C$55)-LEN(SUBSTITUTE($C$6:$C$55,CHAR(10),""))+1)),
IF(_xlpm.r=0,"",_xlpm.r)
))</f>
        <v/>
      </c>
      <c r="AE61" s="56" t="str" cm="1">
        <f t="array" ref="AE61">IF($C61="","",_xlfn.LET(
_xlpm.r,SUMPRODUCT((ISNUMBER(SEARCH($C61,$C$6:$C$55)))*(AE$6:AE$55)/(LEN($C$6:$C$55)-LEN(SUBSTITUTE($C$6:$C$55,CHAR(10),""))+1)),
IF(_xlpm.r=0,"",_xlpm.r)
))</f>
        <v/>
      </c>
      <c r="AF61" s="56" t="str" cm="1">
        <f t="array" ref="AF61">IF($C61="","",_xlfn.LET(
_xlpm.r,SUMPRODUCT((ISNUMBER(SEARCH($C61,$C$6:$C$55)))*(AF$6:AF$55)/(LEN($C$6:$C$55)-LEN(SUBSTITUTE($C$6:$C$55,CHAR(10),""))+1)),
IF(_xlpm.r=0,"",_xlpm.r)
))</f>
        <v/>
      </c>
      <c r="AG61" s="56" t="str" cm="1">
        <f t="array" ref="AG61">IF($C61="","",_xlfn.LET(
_xlpm.r,SUMPRODUCT((ISNUMBER(SEARCH($C61,$C$6:$C$55)))*(AG$6:AG$55)/(LEN($C$6:$C$55)-LEN(SUBSTITUTE($C$6:$C$55,CHAR(10),""))+1)),
IF(_xlpm.r=0,"",_xlpm.r)
))</f>
        <v/>
      </c>
      <c r="AH61" s="56" t="str" cm="1">
        <f t="array" ref="AH61">IF($C61="","",_xlfn.LET(
_xlpm.r,SUMPRODUCT((ISNUMBER(SEARCH($C61,$C$6:$C$55)))*(AH$6:AH$55)/(LEN($C$6:$C$55)-LEN(SUBSTITUTE($C$6:$C$55,CHAR(10),""))+1)),
IF(_xlpm.r=0,"",_xlpm.r)
))</f>
        <v/>
      </c>
      <c r="AI61" s="56" t="str" cm="1">
        <f t="array" ref="AI61">IF($C61="","",_xlfn.LET(
_xlpm.r,SUMPRODUCT((ISNUMBER(SEARCH($C61,$C$6:$C$55)))*(AI$6:AI$55)/(LEN($C$6:$C$55)-LEN(SUBSTITUTE($C$6:$C$55,CHAR(10),""))+1)),
IF(_xlpm.r=0,"",_xlpm.r)
))</f>
        <v/>
      </c>
      <c r="AJ61" s="56" t="str" cm="1">
        <f t="array" ref="AJ61">IF($C61="","",_xlfn.LET(
_xlpm.r,SUMPRODUCT((ISNUMBER(SEARCH($C61,$C$6:$C$55)))*(AJ$6:AJ$55)/(LEN($C$6:$C$55)-LEN(SUBSTITUTE($C$6:$C$55,CHAR(10),""))+1)),
IF(_xlpm.r=0,"",_xlpm.r)
))</f>
        <v/>
      </c>
      <c r="AK61" s="56" t="str" cm="1">
        <f t="array" ref="AK61">IF($C61="","",_xlfn.LET(
_xlpm.r,SUMPRODUCT((ISNUMBER(SEARCH($C61,$C$6:$C$55)))*(AK$6:AK$55)/(LEN($C$6:$C$55)-LEN(SUBSTITUTE($C$6:$C$55,CHAR(10),""))+1)),
IF(_xlpm.r=0,"",_xlpm.r)
))</f>
        <v/>
      </c>
      <c r="AL61" s="56" t="str" cm="1">
        <f t="array" ref="AL61">IF($C61="","",_xlfn.LET(
_xlpm.r,SUMPRODUCT((ISNUMBER(SEARCH($C61,$C$6:$C$55)))*(AL$6:AL$55)/(LEN($C$6:$C$55)-LEN(SUBSTITUTE($C$6:$C$55,CHAR(10),""))+1)),
IF(_xlpm.r=0,"",_xlpm.r)
))</f>
        <v/>
      </c>
      <c r="AM61" s="56" t="str" cm="1">
        <f t="array" ref="AM61">IF($C61="","",_xlfn.LET(
_xlpm.r,SUMPRODUCT((ISNUMBER(SEARCH($C61,$C$6:$C$55)))*(AM$6:AM$55)/(LEN($C$6:$C$55)-LEN(SUBSTITUTE($C$6:$C$55,CHAR(10),""))+1)),
IF(_xlpm.r=0,"",_xlpm.r)
))</f>
        <v/>
      </c>
      <c r="AN61" s="56" t="str" cm="1">
        <f t="array" ref="AN61">IF($C61="","",_xlfn.LET(
_xlpm.r,SUMPRODUCT((ISNUMBER(SEARCH($C61,$C$6:$C$55)))*(AN$6:AN$55)/(LEN($C$6:$C$55)-LEN(SUBSTITUTE($C$6:$C$55,CHAR(10),""))+1)),
IF(_xlpm.r=0,"",_xlpm.r)
))</f>
        <v/>
      </c>
      <c r="AO61" s="56" t="str" cm="1">
        <f t="array" ref="AO61">IF($C61="","",_xlfn.LET(
_xlpm.r,SUMPRODUCT((ISNUMBER(SEARCH($C61,$C$6:$C$55)))*(AO$6:AO$55)/(LEN($C$6:$C$55)-LEN(SUBSTITUTE($C$6:$C$55,CHAR(10),""))+1)),
IF(_xlpm.r=0,"",_xlpm.r)
))</f>
        <v/>
      </c>
      <c r="AP61" s="56" t="str" cm="1">
        <f t="array" ref="AP61">IF($C61="","",_xlfn.LET(
_xlpm.r,SUMPRODUCT((ISNUMBER(SEARCH($C61,$C$6:$C$55)))*(AP$6:AP$55)/(LEN($C$6:$C$55)-LEN(SUBSTITUTE($C$6:$C$55,CHAR(10),""))+1)),
IF(_xlpm.r=0,"",_xlpm.r)
))</f>
        <v/>
      </c>
      <c r="AQ61" s="56" t="str" cm="1">
        <f t="array" ref="AQ61">IF($C61="","",_xlfn.LET(
_xlpm.r,SUMPRODUCT((ISNUMBER(SEARCH($C61,$C$6:$C$55)))*(AQ$6:AQ$55)/(LEN($C$6:$C$55)-LEN(SUBSTITUTE($C$6:$C$55,CHAR(10),""))+1)),
IF(_xlpm.r=0,"",_xlpm.r)
))</f>
        <v/>
      </c>
      <c r="AR61" s="56" t="str" cm="1">
        <f t="array" ref="AR61">IF($C61="","",_xlfn.LET(
_xlpm.r,SUMPRODUCT((ISNUMBER(SEARCH($C61,$C$6:$C$55)))*(AR$6:AR$55)/(LEN($C$6:$C$55)-LEN(SUBSTITUTE($C$6:$C$55,CHAR(10),""))+1)),
IF(_xlpm.r=0,"",_xlpm.r)
))</f>
        <v/>
      </c>
      <c r="AS61" s="56" t="str" cm="1">
        <f t="array" ref="AS61">IF($C61="","",_xlfn.LET(
_xlpm.r,SUMPRODUCT((ISNUMBER(SEARCH($C61,$C$6:$C$55)))*(AS$6:AS$55)/(LEN($C$6:$C$55)-LEN(SUBSTITUTE($C$6:$C$55,CHAR(10),""))+1)),
IF(_xlpm.r=0,"",_xlpm.r)
))</f>
        <v/>
      </c>
      <c r="AT61" s="56" t="str" cm="1">
        <f t="array" ref="AT61">IF($C61="","",_xlfn.LET(
_xlpm.r,SUMPRODUCT((ISNUMBER(SEARCH($C61,$C$6:$C$55)))*(AT$6:AT$55)/(LEN($C$6:$C$55)-LEN(SUBSTITUTE($C$6:$C$55,CHAR(10),""))+1)),
IF(_xlpm.r=0,"",_xlpm.r)
))</f>
        <v/>
      </c>
      <c r="AU61" s="56" t="str" cm="1">
        <f t="array" ref="AU61">IF($C61="","",_xlfn.LET(
_xlpm.r,SUMPRODUCT((ISNUMBER(SEARCH($C61,$C$6:$C$55)))*(AU$6:AU$55)/(LEN($C$6:$C$55)-LEN(SUBSTITUTE($C$6:$C$55,CHAR(10),""))+1)),
IF(_xlpm.r=0,"",_xlpm.r)
))</f>
        <v/>
      </c>
      <c r="AV61" s="56" t="str" cm="1">
        <f t="array" ref="AV61">IF($C61="","",_xlfn.LET(
_xlpm.r,SUMPRODUCT((ISNUMBER(SEARCH($C61,$C$6:$C$55)))*(AV$6:AV$55)/(LEN($C$6:$C$55)-LEN(SUBSTITUTE($C$6:$C$55,CHAR(10),""))+1)),
IF(_xlpm.r=0,"",_xlpm.r)
))</f>
        <v/>
      </c>
      <c r="AW61" s="56" t="str" cm="1">
        <f t="array" ref="AW61">IF($C61="","",_xlfn.LET(
_xlpm.r,SUMPRODUCT((ISNUMBER(SEARCH($C61,$C$6:$C$55)))*(AW$6:AW$55)/(LEN($C$6:$C$55)-LEN(SUBSTITUTE($C$6:$C$55,CHAR(10),""))+1)),
IF(_xlpm.r=0,"",_xlpm.r)
))</f>
        <v/>
      </c>
      <c r="AX61" s="56" t="str" cm="1">
        <f t="array" ref="AX61">IF($C61="","",_xlfn.LET(
_xlpm.r,SUMPRODUCT((ISNUMBER(SEARCH($C61,$C$6:$C$55)))*(AX$6:AX$55)/(LEN($C$6:$C$55)-LEN(SUBSTITUTE($C$6:$C$55,CHAR(10),""))+1)),
IF(_xlpm.r=0,"",_xlpm.r)
))</f>
        <v/>
      </c>
      <c r="AY61" s="56" t="str" cm="1">
        <f t="array" ref="AY61">IF($C61="","",_xlfn.LET(
_xlpm.r,SUMPRODUCT((ISNUMBER(SEARCH($C61,$C$6:$C$55)))*(AY$6:AY$55)/(LEN($C$6:$C$55)-LEN(SUBSTITUTE($C$6:$C$55,CHAR(10),""))+1)),
IF(_xlpm.r=0,"",_xlpm.r)
))</f>
        <v/>
      </c>
      <c r="AZ61" s="56" t="str" cm="1">
        <f t="array" ref="AZ61">IF($C61="","",_xlfn.LET(
_xlpm.r,SUMPRODUCT((ISNUMBER(SEARCH($C61,$C$6:$C$55)))*(AZ$6:AZ$55)/(LEN($C$6:$C$55)-LEN(SUBSTITUTE($C$6:$C$55,CHAR(10),""))+1)),
IF(_xlpm.r=0,"",_xlpm.r)
))</f>
        <v/>
      </c>
      <c r="BA61" s="56" t="str" cm="1">
        <f t="array" ref="BA61">IF($C61="","",_xlfn.LET(
_xlpm.r,SUMPRODUCT((ISNUMBER(SEARCH($C61,$C$6:$C$55)))*(BA$6:BA$55)/(LEN($C$6:$C$55)-LEN(SUBSTITUTE($C$6:$C$55,CHAR(10),""))+1)),
IF(_xlpm.r=0,"",_xlpm.r)
))</f>
        <v/>
      </c>
      <c r="BB61" s="56" t="str" cm="1">
        <f t="array" ref="BB61">IF($C61="","",_xlfn.LET(
_xlpm.r,SUMPRODUCT((ISNUMBER(SEARCH($C61,$C$6:$C$55)))*(BB$6:BB$55)/(LEN($C$6:$C$55)-LEN(SUBSTITUTE($C$6:$C$55,CHAR(10),""))+1)),
IF(_xlpm.r=0,"",_xlpm.r)
))</f>
        <v/>
      </c>
      <c r="BC61" s="56" t="str" cm="1">
        <f t="array" ref="BC61">IF($C61="","",_xlfn.LET(
_xlpm.r,SUMPRODUCT((ISNUMBER(SEARCH($C61,$C$6:$C$55)))*(BC$6:BC$55)/(LEN($C$6:$C$55)-LEN(SUBSTITUTE($C$6:$C$55,CHAR(10),""))+1)),
IF(_xlpm.r=0,"",_xlpm.r)
))</f>
        <v/>
      </c>
      <c r="BD61" s="56" t="str" cm="1">
        <f t="array" ref="BD61">IF($C61="","",_xlfn.LET(
_xlpm.r,SUMPRODUCT((ISNUMBER(SEARCH($C61,$C$6:$C$55)))*(BD$6:BD$55)/(LEN($C$6:$C$55)-LEN(SUBSTITUTE($C$6:$C$55,CHAR(10),""))+1)),
IF(_xlpm.r=0,"",_xlpm.r)
))</f>
        <v/>
      </c>
      <c r="BE61" s="56" t="str" cm="1">
        <f t="array" ref="BE61">IF($C61="","",_xlfn.LET(
_xlpm.r,SUMPRODUCT((ISNUMBER(SEARCH($C61,$C$6:$C$55)))*(BE$6:BE$55)/(LEN($C$6:$C$55)-LEN(SUBSTITUTE($C$6:$C$55,CHAR(10),""))+1)),
IF(_xlpm.r=0,"",_xlpm.r)
))</f>
        <v/>
      </c>
      <c r="BF61" s="56" t="str" cm="1">
        <f t="array" ref="BF61">IF($C61="","",_xlfn.LET(
_xlpm.r,SUMPRODUCT((ISNUMBER(SEARCH($C61,$C$6:$C$55)))*(BF$6:BF$55)/(LEN($C$6:$C$55)-LEN(SUBSTITUTE($C$6:$C$55,CHAR(10),""))+1)),
IF(_xlpm.r=0,"",_xlpm.r)
))</f>
        <v/>
      </c>
      <c r="BG61" s="56" t="str" cm="1">
        <f t="array" ref="BG61">IF($C61="","",_xlfn.LET(
_xlpm.r,SUMPRODUCT((ISNUMBER(SEARCH($C61,$C$6:$C$55)))*(BG$6:BG$55)/(LEN($C$6:$C$55)-LEN(SUBSTITUTE($C$6:$C$55,CHAR(10),""))+1)),
IF(_xlpm.r=0,"",_xlpm.r)
))</f>
        <v/>
      </c>
      <c r="BH61" s="56" t="str" cm="1">
        <f t="array" ref="BH61">IF($C61="","",_xlfn.LET(
_xlpm.r,SUMPRODUCT((ISNUMBER(SEARCH($C61,$C$6:$C$55)))*(BH$6:BH$55)/(LEN($C$6:$C$55)-LEN(SUBSTITUTE($C$6:$C$55,CHAR(10),""))+1)),
IF(_xlpm.r=0,"",_xlpm.r)
))</f>
        <v/>
      </c>
      <c r="BI61" s="56" t="str" cm="1">
        <f t="array" ref="BI61">IF($C61="","",_xlfn.LET(
_xlpm.r,SUMPRODUCT((ISNUMBER(SEARCH($C61,$C$6:$C$55)))*(BI$6:BI$55)/(LEN($C$6:$C$55)-LEN(SUBSTITUTE($C$6:$C$55,CHAR(10),""))+1)),
IF(_xlpm.r=0,"",_xlpm.r)
))</f>
        <v/>
      </c>
      <c r="BJ61" s="56" t="str" cm="1">
        <f t="array" ref="BJ61">IF($C61="","",_xlfn.LET(
_xlpm.r,SUMPRODUCT((ISNUMBER(SEARCH($C61,$C$6:$C$55)))*(BJ$6:BJ$55)/(LEN($C$6:$C$55)-LEN(SUBSTITUTE($C$6:$C$55,CHAR(10),""))+1)),
IF(_xlpm.r=0,"",_xlpm.r)
))</f>
        <v/>
      </c>
      <c r="BK61" s="56" t="str" cm="1">
        <f t="array" ref="BK61">IF($C61="","",_xlfn.LET(
_xlpm.r,SUMPRODUCT((ISNUMBER(SEARCH($C61,$C$6:$C$55)))*(BK$6:BK$55)/(LEN($C$6:$C$55)-LEN(SUBSTITUTE($C$6:$C$55,CHAR(10),""))+1)),
IF(_xlpm.r=0,"",_xlpm.r)
))</f>
        <v/>
      </c>
      <c r="BL61" s="56" t="str" cm="1">
        <f t="array" ref="BL61">IF($C61="","",_xlfn.LET(
_xlpm.r,SUMPRODUCT((ISNUMBER(SEARCH($C61,$C$6:$C$55)))*(BL$6:BL$55)/(LEN($C$6:$C$55)-LEN(SUBSTITUTE($C$6:$C$55,CHAR(10),""))+1)),
IF(_xlpm.r=0,"",_xlpm.r)
))</f>
        <v/>
      </c>
      <c r="BM61" s="56" t="str" cm="1">
        <f t="array" ref="BM61">IF($C61="","",_xlfn.LET(
_xlpm.r,SUMPRODUCT((ISNUMBER(SEARCH($C61,$C$6:$C$55)))*(BM$6:BM$55)/(LEN($C$6:$C$55)-LEN(SUBSTITUTE($C$6:$C$55,CHAR(10),""))+1)),
IF(_xlpm.r=0,"",_xlpm.r)
))</f>
        <v/>
      </c>
      <c r="BN61" s="56" t="str" cm="1">
        <f t="array" ref="BN61">IF($C61="","",_xlfn.LET(
_xlpm.r,SUMPRODUCT((ISNUMBER(SEARCH($C61,$C$6:$C$55)))*(BN$6:BN$55)/(LEN($C$6:$C$55)-LEN(SUBSTITUTE($C$6:$C$55,CHAR(10),""))+1)),
IF(_xlpm.r=0,"",_xlpm.r)
))</f>
        <v/>
      </c>
      <c r="BO61" s="56" t="str" cm="1">
        <f t="array" ref="BO61">IF($C61="","",_xlfn.LET(
_xlpm.r,SUMPRODUCT((ISNUMBER(SEARCH($C61,$C$6:$C$55)))*(BO$6:BO$55)/(LEN($C$6:$C$55)-LEN(SUBSTITUTE($C$6:$C$55,CHAR(10),""))+1)),
IF(_xlpm.r=0,"",_xlpm.r)
))</f>
        <v/>
      </c>
      <c r="BP61" s="56" t="str" cm="1">
        <f t="array" ref="BP61">IF($C61="","",_xlfn.LET(
_xlpm.r,SUMPRODUCT((ISNUMBER(SEARCH($C61,$C$6:$C$55)))*(BP$6:BP$55)/(LEN($C$6:$C$55)-LEN(SUBSTITUTE($C$6:$C$55,CHAR(10),""))+1)),
IF(_xlpm.r=0,"",_xlpm.r)
))</f>
        <v/>
      </c>
      <c r="BQ61" s="56" t="str" cm="1">
        <f t="array" ref="BQ61">IF($C61="","",_xlfn.LET(
_xlpm.r,SUMPRODUCT((ISNUMBER(SEARCH($C61,$C$6:$C$55)))*(BQ$6:BQ$55)/(LEN($C$6:$C$55)-LEN(SUBSTITUTE($C$6:$C$55,CHAR(10),""))+1)),
IF(_xlpm.r=0,"",_xlpm.r)
))</f>
        <v/>
      </c>
      <c r="BR61" s="56" t="str" cm="1">
        <f t="array" ref="BR61">IF($C61="","",_xlfn.LET(
_xlpm.r,SUMPRODUCT((ISNUMBER(SEARCH($C61,$C$6:$C$55)))*(BR$6:BR$55)/(LEN($C$6:$C$55)-LEN(SUBSTITUTE($C$6:$C$55,CHAR(10),""))+1)),
IF(_xlpm.r=0,"",_xlpm.r)
))</f>
        <v/>
      </c>
      <c r="BS61" s="56" t="str" cm="1">
        <f t="array" ref="BS61">IF($C61="","",_xlfn.LET(
_xlpm.r,SUMPRODUCT((ISNUMBER(SEARCH($C61,$C$6:$C$55)))*(BS$6:BS$55)/(LEN($C$6:$C$55)-LEN(SUBSTITUTE($C$6:$C$55,CHAR(10),""))+1)),
IF(_xlpm.r=0,"",_xlpm.r)
))</f>
        <v/>
      </c>
      <c r="BT61" s="56" t="str" cm="1">
        <f t="array" ref="BT61">IF($C61="","",_xlfn.LET(
_xlpm.r,SUMPRODUCT((ISNUMBER(SEARCH($C61,$C$6:$C$55)))*(BT$6:BT$55)/(LEN($C$6:$C$55)-LEN(SUBSTITUTE($C$6:$C$55,CHAR(10),""))+1)),
IF(_xlpm.r=0,"",_xlpm.r)
))</f>
        <v/>
      </c>
      <c r="BU61" s="56" t="str" cm="1">
        <f t="array" ref="BU61">IF($C61="","",_xlfn.LET(
_xlpm.r,SUMPRODUCT((ISNUMBER(SEARCH($C61,$C$6:$C$55)))*(BU$6:BU$55)/(LEN($C$6:$C$55)-LEN(SUBSTITUTE($C$6:$C$55,CHAR(10),""))+1)),
IF(_xlpm.r=0,"",_xlpm.r)
))</f>
        <v/>
      </c>
      <c r="BV61" s="56" t="str" cm="1">
        <f t="array" ref="BV61">IF($C61="","",_xlfn.LET(
_xlpm.r,SUMPRODUCT((ISNUMBER(SEARCH($C61,$C$6:$C$55)))*(BV$6:BV$55)/(LEN($C$6:$C$55)-LEN(SUBSTITUTE($C$6:$C$55,CHAR(10),""))+1)),
IF(_xlpm.r=0,"",_xlpm.r)
))</f>
        <v/>
      </c>
      <c r="BW61" s="56" t="str" cm="1">
        <f t="array" ref="BW61">IF($C61="","",_xlfn.LET(
_xlpm.r,SUMPRODUCT((ISNUMBER(SEARCH($C61,$C$6:$C$55)))*(BW$6:BW$55)/(LEN($C$6:$C$55)-LEN(SUBSTITUTE($C$6:$C$55,CHAR(10),""))+1)),
IF(_xlpm.r=0,"",_xlpm.r)
))</f>
        <v/>
      </c>
      <c r="BX61" s="56" t="str" cm="1">
        <f t="array" ref="BX61">IF($C61="","",_xlfn.LET(
_xlpm.r,SUMPRODUCT((ISNUMBER(SEARCH($C61,$C$6:$C$55)))*(BX$6:BX$55)/(LEN($C$6:$C$55)-LEN(SUBSTITUTE($C$6:$C$55,CHAR(10),""))+1)),
IF(_xlpm.r=0,"",_xlpm.r)
))</f>
        <v/>
      </c>
      <c r="BY61" s="56" t="str" cm="1">
        <f t="array" ref="BY61">IF($C61="","",_xlfn.LET(
_xlpm.r,SUMPRODUCT((ISNUMBER(SEARCH($C61,$C$6:$C$55)))*(BY$6:BY$55)/(LEN($C$6:$C$55)-LEN(SUBSTITUTE($C$6:$C$55,CHAR(10),""))+1)),
IF(_xlpm.r=0,"",_xlpm.r)
))</f>
        <v/>
      </c>
      <c r="BZ61" s="56" t="str" cm="1">
        <f t="array" ref="BZ61">IF($C61="","",_xlfn.LET(
_xlpm.r,SUMPRODUCT((ISNUMBER(SEARCH($C61,$C$6:$C$55)))*(BZ$6:BZ$55)/(LEN($C$6:$C$55)-LEN(SUBSTITUTE($C$6:$C$55,CHAR(10),""))+1)),
IF(_xlpm.r=0,"",_xlpm.r)
))</f>
        <v/>
      </c>
      <c r="CA61" s="56" t="str" cm="1">
        <f t="array" ref="CA61">IF($C61="","",_xlfn.LET(
_xlpm.r,SUMPRODUCT((ISNUMBER(SEARCH($C61,$C$6:$C$55)))*(CA$6:CA$55)/(LEN($C$6:$C$55)-LEN(SUBSTITUTE($C$6:$C$55,CHAR(10),""))+1)),
IF(_xlpm.r=0,"",_xlpm.r)
))</f>
        <v/>
      </c>
      <c r="CB61" s="56" t="str" cm="1">
        <f t="array" ref="CB61">IF($C61="","",_xlfn.LET(
_xlpm.r,SUMPRODUCT((ISNUMBER(SEARCH($C61,$C$6:$C$55)))*(CB$6:CB$55)/(LEN($C$6:$C$55)-LEN(SUBSTITUTE($C$6:$C$55,CHAR(10),""))+1)),
IF(_xlpm.r=0,"",_xlpm.r)
))</f>
        <v/>
      </c>
      <c r="CC61" s="56" t="str" cm="1">
        <f t="array" ref="CC61">IF($C61="","",_xlfn.LET(
_xlpm.r,SUMPRODUCT((ISNUMBER(SEARCH($C61,$C$6:$C$55)))*(CC$6:CC$55)/(LEN($C$6:$C$55)-LEN(SUBSTITUTE($C$6:$C$55,CHAR(10),""))+1)),
IF(_xlpm.r=0,"",_xlpm.r)
))</f>
        <v/>
      </c>
      <c r="CD61" s="56" t="str" cm="1">
        <f t="array" ref="CD61">IF($C61="","",_xlfn.LET(
_xlpm.r,SUMPRODUCT((ISNUMBER(SEARCH($C61,$C$6:$C$55)))*(CD$6:CD$55)/(LEN($C$6:$C$55)-LEN(SUBSTITUTE($C$6:$C$55,CHAR(10),""))+1)),
IF(_xlpm.r=0,"",_xlpm.r)
))</f>
        <v/>
      </c>
      <c r="CE61" s="56" t="str" cm="1">
        <f t="array" ref="CE61">IF($C61="","",_xlfn.LET(
_xlpm.r,SUMPRODUCT((ISNUMBER(SEARCH($C61,$C$6:$C$55)))*(CE$6:CE$55)/(LEN($C$6:$C$55)-LEN(SUBSTITUTE($C$6:$C$55,CHAR(10),""))+1)),
IF(_xlpm.r=0,"",_xlpm.r)
))</f>
        <v/>
      </c>
      <c r="CF61" s="56" t="str" cm="1">
        <f t="array" ref="CF61">IF($C61="","",_xlfn.LET(
_xlpm.r,SUMPRODUCT((ISNUMBER(SEARCH($C61,$C$6:$C$55)))*(CF$6:CF$55)/(LEN($C$6:$C$55)-LEN(SUBSTITUTE($C$6:$C$55,CHAR(10),""))+1)),
IF(_xlpm.r=0,"",_xlpm.r)
))</f>
        <v/>
      </c>
      <c r="CG61" s="56" t="str" cm="1">
        <f t="array" ref="CG61">IF($C61="","",_xlfn.LET(
_xlpm.r,SUMPRODUCT((ISNUMBER(SEARCH($C61,$C$6:$C$55)))*(CG$6:CG$55)/(LEN($C$6:$C$55)-LEN(SUBSTITUTE($C$6:$C$55,CHAR(10),""))+1)),
IF(_xlpm.r=0,"",_xlpm.r)
))</f>
        <v/>
      </c>
      <c r="CH61" s="56" t="str" cm="1">
        <f t="array" ref="CH61">IF($C61="","",_xlfn.LET(
_xlpm.r,SUMPRODUCT((ISNUMBER(SEARCH($C61,$C$6:$C$55)))*(CH$6:CH$55)/(LEN($C$6:$C$55)-LEN(SUBSTITUTE($C$6:$C$55,CHAR(10),""))+1)),
IF(_xlpm.r=0,"",_xlpm.r)
))</f>
        <v/>
      </c>
      <c r="CI61" s="56" t="str" cm="1">
        <f t="array" ref="CI61">IF($C61="","",_xlfn.LET(
_xlpm.r,SUMPRODUCT((ISNUMBER(SEARCH($C61,$C$6:$C$55)))*(CI$6:CI$55)/(LEN($C$6:$C$55)-LEN(SUBSTITUTE($C$6:$C$55,CHAR(10),""))+1)),
IF(_xlpm.r=0,"",_xlpm.r)
))</f>
        <v/>
      </c>
      <c r="CJ61" s="56" t="str" cm="1">
        <f t="array" ref="CJ61">IF($C61="","",_xlfn.LET(
_xlpm.r,SUMPRODUCT((ISNUMBER(SEARCH($C61,$C$6:$C$55)))*(CJ$6:CJ$55)/(LEN($C$6:$C$55)-LEN(SUBSTITUTE($C$6:$C$55,CHAR(10),""))+1)),
IF(_xlpm.r=0,"",_xlpm.r)
))</f>
        <v/>
      </c>
      <c r="CK61" s="56" t="str" cm="1">
        <f t="array" ref="CK61">IF($C61="","",_xlfn.LET(
_xlpm.r,SUMPRODUCT((ISNUMBER(SEARCH($C61,$C$6:$C$55)))*(CK$6:CK$55)/(LEN($C$6:$C$55)-LEN(SUBSTITUTE($C$6:$C$55,CHAR(10),""))+1)),
IF(_xlpm.r=0,"",_xlpm.r)
))</f>
        <v/>
      </c>
      <c r="CL61" s="56" t="str" cm="1">
        <f t="array" ref="CL61">IF($C61="","",_xlfn.LET(
_xlpm.r,SUMPRODUCT((ISNUMBER(SEARCH($C61,$C$6:$C$55)))*(CL$6:CL$55)/(LEN($C$6:$C$55)-LEN(SUBSTITUTE($C$6:$C$55,CHAR(10),""))+1)),
IF(_xlpm.r=0,"",_xlpm.r)
))</f>
        <v/>
      </c>
      <c r="CM61" s="56" t="str" cm="1">
        <f t="array" ref="CM61">IF($C61="","",_xlfn.LET(
_xlpm.r,SUMPRODUCT((ISNUMBER(SEARCH($C61,$C$6:$C$55)))*(CM$6:CM$55)/(LEN($C$6:$C$55)-LEN(SUBSTITUTE($C$6:$C$55,CHAR(10),""))+1)),
IF(_xlpm.r=0,"",_xlpm.r)
))</f>
        <v/>
      </c>
      <c r="CN61" s="56" t="str" cm="1">
        <f t="array" ref="CN61">IF($C61="","",_xlfn.LET(
_xlpm.r,SUMPRODUCT((ISNUMBER(SEARCH($C61,$C$6:$C$55)))*(CN$6:CN$55)/(LEN($C$6:$C$55)-LEN(SUBSTITUTE($C$6:$C$55,CHAR(10),""))+1)),
IF(_xlpm.r=0,"",_xlpm.r)
))</f>
        <v/>
      </c>
      <c r="CO61" s="56" t="str" cm="1">
        <f t="array" ref="CO61">IF($C61="","",_xlfn.LET(
_xlpm.r,SUMPRODUCT((ISNUMBER(SEARCH($C61,$C$6:$C$55)))*(CO$6:CO$55)/(LEN($C$6:$C$55)-LEN(SUBSTITUTE($C$6:$C$55,CHAR(10),""))+1)),
IF(_xlpm.r=0,"",_xlpm.r)
))</f>
        <v/>
      </c>
      <c r="CP61" s="56" t="str" cm="1">
        <f t="array" ref="CP61">IF($C61="","",_xlfn.LET(
_xlpm.r,SUMPRODUCT((ISNUMBER(SEARCH($C61,$C$6:$C$55)))*(CP$6:CP$55)/(LEN($C$6:$C$55)-LEN(SUBSTITUTE($C$6:$C$55,CHAR(10),""))+1)),
IF(_xlpm.r=0,"",_xlpm.r)
))</f>
        <v/>
      </c>
      <c r="CQ61" s="56" t="str" cm="1">
        <f t="array" ref="CQ61">IF($C61="","",_xlfn.LET(
_xlpm.r,SUMPRODUCT((ISNUMBER(SEARCH($C61,$C$6:$C$55)))*(CQ$6:CQ$55)/(LEN($C$6:$C$55)-LEN(SUBSTITUTE($C$6:$C$55,CHAR(10),""))+1)),
IF(_xlpm.r=0,"",_xlpm.r)
))</f>
        <v/>
      </c>
      <c r="CR61" s="56" t="str" cm="1">
        <f t="array" ref="CR61">IF($C61="","",_xlfn.LET(
_xlpm.r,SUMPRODUCT((ISNUMBER(SEARCH($C61,$C$6:$C$55)))*(CR$6:CR$55)/(LEN($C$6:$C$55)-LEN(SUBSTITUTE($C$6:$C$55,CHAR(10),""))+1)),
IF(_xlpm.r=0,"",_xlpm.r)
))</f>
        <v/>
      </c>
      <c r="CS61" s="56" t="str" cm="1">
        <f t="array" ref="CS61">IF($C61="","",_xlfn.LET(
_xlpm.r,SUMPRODUCT((ISNUMBER(SEARCH($C61,$C$6:$C$55)))*(CS$6:CS$55)/(LEN($C$6:$C$55)-LEN(SUBSTITUTE($C$6:$C$55,CHAR(10),""))+1)),
IF(_xlpm.r=0,"",_xlpm.r)
))</f>
        <v/>
      </c>
      <c r="CT61" s="56" t="str" cm="1">
        <f t="array" ref="CT61">IF($C61="","",_xlfn.LET(
_xlpm.r,SUMPRODUCT((ISNUMBER(SEARCH($C61,$C$6:$C$55)))*(CT$6:CT$55)/(LEN($C$6:$C$55)-LEN(SUBSTITUTE($C$6:$C$55,CHAR(10),""))+1)),
IF(_xlpm.r=0,"",_xlpm.r)
))</f>
        <v/>
      </c>
      <c r="CU61" s="56" t="str" cm="1">
        <f t="array" ref="CU61">IF($C61="","",_xlfn.LET(
_xlpm.r,SUMPRODUCT((ISNUMBER(SEARCH($C61,$C$6:$C$55)))*(CU$6:CU$55)/(LEN($C$6:$C$55)-LEN(SUBSTITUTE($C$6:$C$55,CHAR(10),""))+1)),
IF(_xlpm.r=0,"",_xlpm.r)
))</f>
        <v/>
      </c>
      <c r="CV61" s="56" t="str" cm="1">
        <f t="array" ref="CV61">IF($C61="","",_xlfn.LET(
_xlpm.r,SUMPRODUCT((ISNUMBER(SEARCH($C61,$C$6:$C$55)))*(CV$6:CV$55)/(LEN($C$6:$C$55)-LEN(SUBSTITUTE($C$6:$C$55,CHAR(10),""))+1)),
IF(_xlpm.r=0,"",_xlpm.r)
))</f>
        <v/>
      </c>
      <c r="CW61" s="56" t="str" cm="1">
        <f t="array" ref="CW61">IF($C61="","",_xlfn.LET(
_xlpm.r,SUMPRODUCT((ISNUMBER(SEARCH($C61,$C$6:$C$55)))*(CW$6:CW$55)/(LEN($C$6:$C$55)-LEN(SUBSTITUTE($C$6:$C$55,CHAR(10),""))+1)),
IF(_xlpm.r=0,"",_xlpm.r)
))</f>
        <v/>
      </c>
      <c r="CX61" s="56" t="str" cm="1">
        <f t="array" ref="CX61">IF($C61="","",_xlfn.LET(
_xlpm.r,SUMPRODUCT((ISNUMBER(SEARCH($C61,$C$6:$C$55)))*(CX$6:CX$55)/(LEN($C$6:$C$55)-LEN(SUBSTITUTE($C$6:$C$55,CHAR(10),""))+1)),
IF(_xlpm.r=0,"",_xlpm.r)
))</f>
        <v/>
      </c>
      <c r="CY61" s="56" t="str" cm="1">
        <f t="array" ref="CY61">IF($C61="","",_xlfn.LET(
_xlpm.r,SUMPRODUCT((ISNUMBER(SEARCH($C61,$C$6:$C$55)))*(CY$6:CY$55)/(LEN($C$6:$C$55)-LEN(SUBSTITUTE($C$6:$C$55,CHAR(10),""))+1)),
IF(_xlpm.r=0,"",_xlpm.r)
))</f>
        <v/>
      </c>
      <c r="CZ61" s="56" t="str" cm="1">
        <f t="array" ref="CZ61">IF($C61="","",_xlfn.LET(
_xlpm.r,SUMPRODUCT((ISNUMBER(SEARCH($C61,$C$6:$C$55)))*(CZ$6:CZ$55)/(LEN($C$6:$C$55)-LEN(SUBSTITUTE($C$6:$C$55,CHAR(10),""))+1)),
IF(_xlpm.r=0,"",_xlpm.r)
))</f>
        <v/>
      </c>
      <c r="DA61" s="56" t="str" cm="1">
        <f t="array" ref="DA61">IF($C61="","",_xlfn.LET(
_xlpm.r,SUMPRODUCT((ISNUMBER(SEARCH($C61,$C$6:$C$55)))*(DA$6:DA$55)/(LEN($C$6:$C$55)-LEN(SUBSTITUTE($C$6:$C$55,CHAR(10),""))+1)),
IF(_xlpm.r=0,"",_xlpm.r)
))</f>
        <v/>
      </c>
      <c r="DB61" s="56" t="str" cm="1">
        <f t="array" ref="DB61">IF($C61="","",_xlfn.LET(
_xlpm.r,SUMPRODUCT((ISNUMBER(SEARCH($C61,$C$6:$C$55)))*(DB$6:DB$55)/(LEN($C$6:$C$55)-LEN(SUBSTITUTE($C$6:$C$55,CHAR(10),""))+1)),
IF(_xlpm.r=0,"",_xlpm.r)
))</f>
        <v/>
      </c>
      <c r="DC61" s="56" t="str" cm="1">
        <f t="array" ref="DC61">IF($C61="","",_xlfn.LET(
_xlpm.r,SUMPRODUCT((ISNUMBER(SEARCH($C61,$C$6:$C$55)))*(DC$6:DC$55)/(LEN($C$6:$C$55)-LEN(SUBSTITUTE($C$6:$C$55,CHAR(10),""))+1)),
IF(_xlpm.r=0,"",_xlpm.r)
))</f>
        <v/>
      </c>
      <c r="DD61" s="56" t="str" cm="1">
        <f t="array" ref="DD61">IF($C61="","",_xlfn.LET(
_xlpm.r,SUMPRODUCT((ISNUMBER(SEARCH($C61,$C$6:$C$55)))*(DD$6:DD$55)/(LEN($C$6:$C$55)-LEN(SUBSTITUTE($C$6:$C$55,CHAR(10),""))+1)),
IF(_xlpm.r=0,"",_xlpm.r)
))</f>
        <v/>
      </c>
    </row>
    <row r="62" spans="1:112" x14ac:dyDescent="0.3">
      <c r="C62" s="63" t="s">
        <v>169</v>
      </c>
      <c r="D62" s="64"/>
      <c r="E62" s="61" t="str" cm="1">
        <f t="array" ref="E62">IF($C62="","",_xlfn.LET(
_xlpm.r,SUMPRODUCT((ISNUMBER(SEARCH($C62,$C$6:$C$55)))*(E$6:E$55)/(LEN($C$6:$C$55)-LEN(SUBSTITUTE($C$6:$C$55,CHAR(10),""))+1)),
IF(_xlpm.r=0,"",_xlpm.r)
))</f>
        <v/>
      </c>
      <c r="F62" s="61" t="str" cm="1">
        <f t="array" ref="F62">IF($C62="","",_xlfn.LET(
_xlpm.r,SUMPRODUCT((ISNUMBER(SEARCH($C62,$C$6:$C$55)))*(F$6:F$55)/(LEN($C$6:$C$55)-LEN(SUBSTITUTE($C$6:$C$55,CHAR(10),""))+1)),
IF(_xlpm.r=0,"",_xlpm.r)
))</f>
        <v/>
      </c>
      <c r="G62" s="61" t="str" cm="1">
        <f t="array" ref="G62">IF($C62="","",_xlfn.LET(
_xlpm.r,SUMPRODUCT((ISNUMBER(SEARCH($C62,$C$6:$C$55)))*(G$6:G$55)/(LEN($C$6:$C$55)-LEN(SUBSTITUTE($C$6:$C$55,CHAR(10),""))+1)),
IF(_xlpm.r=0,"",_xlpm.r)
))</f>
        <v/>
      </c>
      <c r="H62" s="61" t="str" cm="1">
        <f t="array" ref="H62">IF($C62="","",_xlfn.LET(
_xlpm.r,SUMPRODUCT((ISNUMBER(SEARCH($C62,$C$6:$C$55)))*(H$6:H$55)/(LEN($C$6:$C$55)-LEN(SUBSTITUTE($C$6:$C$55,CHAR(10),""))+1)),
IF(_xlpm.r=0,"",_xlpm.r)
))</f>
        <v/>
      </c>
      <c r="I62" s="61" t="str" cm="1">
        <f t="array" ref="I62">IF($C62="","",_xlfn.LET(
_xlpm.r,SUMPRODUCT((ISNUMBER(SEARCH($C62,$C$6:$C$55)))*(I$6:I$55)/(LEN($C$6:$C$55)-LEN(SUBSTITUTE($C$6:$C$55,CHAR(10),""))+1)),
IF(_xlpm.r=0,"",_xlpm.r)
))</f>
        <v/>
      </c>
      <c r="J62" s="61" t="str" cm="1">
        <f t="array" ref="J62">IF($C62="","",_xlfn.LET(
_xlpm.r,SUMPRODUCT((ISNUMBER(SEARCH($C62,$C$6:$C$55)))*(J$6:J$55)/(LEN($C$6:$C$55)-LEN(SUBSTITUTE($C$6:$C$55,CHAR(10),""))+1)),
IF(_xlpm.r=0,"",_xlpm.r)
))</f>
        <v/>
      </c>
      <c r="K62" s="61" t="str" cm="1">
        <f t="array" ref="K62">IF($C62="","",_xlfn.LET(
_xlpm.r,SUMPRODUCT((ISNUMBER(SEARCH($C62,$C$6:$C$55)))*(K$6:K$55)/(LEN($C$6:$C$55)-LEN(SUBSTITUTE($C$6:$C$55,CHAR(10),""))+1)),
IF(_xlpm.r=0,"",_xlpm.r)
))</f>
        <v/>
      </c>
      <c r="L62" s="61" cm="1">
        <f t="array" ref="L62">IF($C62="","",_xlfn.LET(
_xlpm.r,SUMPRODUCT((ISNUMBER(SEARCH($C62,$C$6:$C$55)))*(L$6:L$55)/(LEN($C$6:$C$55)-LEN(SUBSTITUTE($C$6:$C$55,CHAR(10),""))+1)),
IF(_xlpm.r=0,"",_xlpm.r)
))</f>
        <v>5</v>
      </c>
      <c r="M62" s="61" t="str" cm="1">
        <f t="array" ref="M62">IF($C62="","",_xlfn.LET(
_xlpm.r,SUMPRODUCT((ISNUMBER(SEARCH($C62,$C$6:$C$55)))*(M$6:M$55)/(LEN($C$6:$C$55)-LEN(SUBSTITUTE($C$6:$C$55,CHAR(10),""))+1)),
IF(_xlpm.r=0,"",_xlpm.r)
))</f>
        <v/>
      </c>
      <c r="N62" s="61" t="str" cm="1">
        <f t="array" ref="N62">IF($C62="","",_xlfn.LET(
_xlpm.r,SUMPRODUCT((ISNUMBER(SEARCH($C62,$C$6:$C$55)))*(N$6:N$55)/(LEN($C$6:$C$55)-LEN(SUBSTITUTE($C$6:$C$55,CHAR(10),""))+1)),
IF(_xlpm.r=0,"",_xlpm.r)
))</f>
        <v/>
      </c>
      <c r="O62" s="61" t="str" cm="1">
        <f t="array" ref="O62">IF($C62="","",_xlfn.LET(
_xlpm.r,SUMPRODUCT((ISNUMBER(SEARCH($C62,$C$6:$C$55)))*(O$6:O$55)/(LEN($C$6:$C$55)-LEN(SUBSTITUTE($C$6:$C$55,CHAR(10),""))+1)),
IF(_xlpm.r=0,"",_xlpm.r)
))</f>
        <v/>
      </c>
      <c r="P62" s="61" t="str" cm="1">
        <f t="array" ref="P62">IF($C62="","",_xlfn.LET(
_xlpm.r,SUMPRODUCT((ISNUMBER(SEARCH($C62,$C$6:$C$55)))*(P$6:P$55)/(LEN($C$6:$C$55)-LEN(SUBSTITUTE($C$6:$C$55,CHAR(10),""))+1)),
IF(_xlpm.r=0,"",_xlpm.r)
))</f>
        <v/>
      </c>
      <c r="Q62" s="61" t="str" cm="1">
        <f t="array" ref="Q62">IF($C62="","",_xlfn.LET(
_xlpm.r,SUMPRODUCT((ISNUMBER(SEARCH($C62,$C$6:$C$55)))*(Q$6:Q$55)/(LEN($C$6:$C$55)-LEN(SUBSTITUTE($C$6:$C$55,CHAR(10),""))+1)),
IF(_xlpm.r=0,"",_xlpm.r)
))</f>
        <v/>
      </c>
      <c r="R62" s="61" t="str" cm="1">
        <f t="array" ref="R62">IF($C62="","",_xlfn.LET(
_xlpm.r,SUMPRODUCT((ISNUMBER(SEARCH($C62,$C$6:$C$55)))*(R$6:R$55)/(LEN($C$6:$C$55)-LEN(SUBSTITUTE($C$6:$C$55,CHAR(10),""))+1)),
IF(_xlpm.r=0,"",_xlpm.r)
))</f>
        <v/>
      </c>
      <c r="S62" s="61" t="str" cm="1">
        <f t="array" ref="S62">IF($C62="","",_xlfn.LET(
_xlpm.r,SUMPRODUCT((ISNUMBER(SEARCH($C62,$C$6:$C$55)))*(S$6:S$55)/(LEN($C$6:$C$55)-LEN(SUBSTITUTE($C$6:$C$55,CHAR(10),""))+1)),
IF(_xlpm.r=0,"",_xlpm.r)
))</f>
        <v/>
      </c>
      <c r="T62" s="61" t="str" cm="1">
        <f t="array" ref="T62">IF($C62="","",_xlfn.LET(
_xlpm.r,SUMPRODUCT((ISNUMBER(SEARCH($C62,$C$6:$C$55)))*(T$6:T$55)/(LEN($C$6:$C$55)-LEN(SUBSTITUTE($C$6:$C$55,CHAR(10),""))+1)),
IF(_xlpm.r=0,"",_xlpm.r)
))</f>
        <v/>
      </c>
      <c r="U62" s="61" t="str" cm="1">
        <f t="array" ref="U62">IF($C62="","",_xlfn.LET(
_xlpm.r,SUMPRODUCT((ISNUMBER(SEARCH($C62,$C$6:$C$55)))*(U$6:U$55)/(LEN($C$6:$C$55)-LEN(SUBSTITUTE($C$6:$C$55,CHAR(10),""))+1)),
IF(_xlpm.r=0,"",_xlpm.r)
))</f>
        <v/>
      </c>
      <c r="V62" s="61" t="str" cm="1">
        <f t="array" ref="V62">IF($C62="","",_xlfn.LET(
_xlpm.r,SUMPRODUCT((ISNUMBER(SEARCH($C62,$C$6:$C$55)))*(V$6:V$55)/(LEN($C$6:$C$55)-LEN(SUBSTITUTE($C$6:$C$55,CHAR(10),""))+1)),
IF(_xlpm.r=0,"",_xlpm.r)
))</f>
        <v/>
      </c>
      <c r="W62" s="61" t="str" cm="1">
        <f t="array" ref="W62">IF($C62="","",_xlfn.LET(
_xlpm.r,SUMPRODUCT((ISNUMBER(SEARCH($C62,$C$6:$C$55)))*(W$6:W$55)/(LEN($C$6:$C$55)-LEN(SUBSTITUTE($C$6:$C$55,CHAR(10),""))+1)),
IF(_xlpm.r=0,"",_xlpm.r)
))</f>
        <v/>
      </c>
      <c r="X62" s="61" t="str" cm="1">
        <f t="array" ref="X62">IF($C62="","",_xlfn.LET(
_xlpm.r,SUMPRODUCT((ISNUMBER(SEARCH($C62,$C$6:$C$55)))*(X$6:X$55)/(LEN($C$6:$C$55)-LEN(SUBSTITUTE($C$6:$C$55,CHAR(10),""))+1)),
IF(_xlpm.r=0,"",_xlpm.r)
))</f>
        <v/>
      </c>
      <c r="Y62" s="61" t="str" cm="1">
        <f t="array" ref="Y62">IF($C62="","",_xlfn.LET(
_xlpm.r,SUMPRODUCT((ISNUMBER(SEARCH($C62,$C$6:$C$55)))*(Y$6:Y$55)/(LEN($C$6:$C$55)-LEN(SUBSTITUTE($C$6:$C$55,CHAR(10),""))+1)),
IF(_xlpm.r=0,"",_xlpm.r)
))</f>
        <v/>
      </c>
      <c r="Z62" s="61" t="str" cm="1">
        <f t="array" ref="Z62">IF($C62="","",_xlfn.LET(
_xlpm.r,SUMPRODUCT((ISNUMBER(SEARCH($C62,$C$6:$C$55)))*(Z$6:Z$55)/(LEN($C$6:$C$55)-LEN(SUBSTITUTE($C$6:$C$55,CHAR(10),""))+1)),
IF(_xlpm.r=0,"",_xlpm.r)
))</f>
        <v/>
      </c>
      <c r="AA62" s="61" t="str" cm="1">
        <f t="array" ref="AA62">IF($C62="","",_xlfn.LET(
_xlpm.r,SUMPRODUCT((ISNUMBER(SEARCH($C62,$C$6:$C$55)))*(AA$6:AA$55)/(LEN($C$6:$C$55)-LEN(SUBSTITUTE($C$6:$C$55,CHAR(10),""))+1)),
IF(_xlpm.r=0,"",_xlpm.r)
))</f>
        <v/>
      </c>
      <c r="AB62" s="61" t="str" cm="1">
        <f t="array" ref="AB62">IF($C62="","",_xlfn.LET(
_xlpm.r,SUMPRODUCT((ISNUMBER(SEARCH($C62,$C$6:$C$55)))*(AB$6:AB$55)/(LEN($C$6:$C$55)-LEN(SUBSTITUTE($C$6:$C$55,CHAR(10),""))+1)),
IF(_xlpm.r=0,"",_xlpm.r)
))</f>
        <v/>
      </c>
      <c r="AC62" s="61" t="str" cm="1">
        <f t="array" ref="AC62">IF($C62="","",_xlfn.LET(
_xlpm.r,SUMPRODUCT((ISNUMBER(SEARCH($C62,$C$6:$C$55)))*(AC$6:AC$55)/(LEN($C$6:$C$55)-LEN(SUBSTITUTE($C$6:$C$55,CHAR(10),""))+1)),
IF(_xlpm.r=0,"",_xlpm.r)
))</f>
        <v/>
      </c>
      <c r="AD62" s="61" t="str" cm="1">
        <f t="array" ref="AD62">IF($C62="","",_xlfn.LET(
_xlpm.r,SUMPRODUCT((ISNUMBER(SEARCH($C62,$C$6:$C$55)))*(AD$6:AD$55)/(LEN($C$6:$C$55)-LEN(SUBSTITUTE($C$6:$C$55,CHAR(10),""))+1)),
IF(_xlpm.r=0,"",_xlpm.r)
))</f>
        <v/>
      </c>
      <c r="AE62" s="61" t="str" cm="1">
        <f t="array" ref="AE62">IF($C62="","",_xlfn.LET(
_xlpm.r,SUMPRODUCT((ISNUMBER(SEARCH($C62,$C$6:$C$55)))*(AE$6:AE$55)/(LEN($C$6:$C$55)-LEN(SUBSTITUTE($C$6:$C$55,CHAR(10),""))+1)),
IF(_xlpm.r=0,"",_xlpm.r)
))</f>
        <v/>
      </c>
      <c r="AF62" s="61" t="str" cm="1">
        <f t="array" ref="AF62">IF($C62="","",_xlfn.LET(
_xlpm.r,SUMPRODUCT((ISNUMBER(SEARCH($C62,$C$6:$C$55)))*(AF$6:AF$55)/(LEN($C$6:$C$55)-LEN(SUBSTITUTE($C$6:$C$55,CHAR(10),""))+1)),
IF(_xlpm.r=0,"",_xlpm.r)
))</f>
        <v/>
      </c>
      <c r="AG62" s="61" t="str" cm="1">
        <f t="array" ref="AG62">IF($C62="","",_xlfn.LET(
_xlpm.r,SUMPRODUCT((ISNUMBER(SEARCH($C62,$C$6:$C$55)))*(AG$6:AG$55)/(LEN($C$6:$C$55)-LEN(SUBSTITUTE($C$6:$C$55,CHAR(10),""))+1)),
IF(_xlpm.r=0,"",_xlpm.r)
))</f>
        <v/>
      </c>
      <c r="AH62" s="61" t="str" cm="1">
        <f t="array" ref="AH62">IF($C62="","",_xlfn.LET(
_xlpm.r,SUMPRODUCT((ISNUMBER(SEARCH($C62,$C$6:$C$55)))*(AH$6:AH$55)/(LEN($C$6:$C$55)-LEN(SUBSTITUTE($C$6:$C$55,CHAR(10),""))+1)),
IF(_xlpm.r=0,"",_xlpm.r)
))</f>
        <v/>
      </c>
      <c r="AI62" s="61" t="str" cm="1">
        <f t="array" ref="AI62">IF($C62="","",_xlfn.LET(
_xlpm.r,SUMPRODUCT((ISNUMBER(SEARCH($C62,$C$6:$C$55)))*(AI$6:AI$55)/(LEN($C$6:$C$55)-LEN(SUBSTITUTE($C$6:$C$55,CHAR(10),""))+1)),
IF(_xlpm.r=0,"",_xlpm.r)
))</f>
        <v/>
      </c>
      <c r="AJ62" s="61" t="str" cm="1">
        <f t="array" ref="AJ62">IF($C62="","",_xlfn.LET(
_xlpm.r,SUMPRODUCT((ISNUMBER(SEARCH($C62,$C$6:$C$55)))*(AJ$6:AJ$55)/(LEN($C$6:$C$55)-LEN(SUBSTITUTE($C$6:$C$55,CHAR(10),""))+1)),
IF(_xlpm.r=0,"",_xlpm.r)
))</f>
        <v/>
      </c>
      <c r="AK62" s="61" t="str" cm="1">
        <f t="array" ref="AK62">IF($C62="","",_xlfn.LET(
_xlpm.r,SUMPRODUCT((ISNUMBER(SEARCH($C62,$C$6:$C$55)))*(AK$6:AK$55)/(LEN($C$6:$C$55)-LEN(SUBSTITUTE($C$6:$C$55,CHAR(10),""))+1)),
IF(_xlpm.r=0,"",_xlpm.r)
))</f>
        <v/>
      </c>
      <c r="AL62" s="61" t="str" cm="1">
        <f t="array" ref="AL62">IF($C62="","",_xlfn.LET(
_xlpm.r,SUMPRODUCT((ISNUMBER(SEARCH($C62,$C$6:$C$55)))*(AL$6:AL$55)/(LEN($C$6:$C$55)-LEN(SUBSTITUTE($C$6:$C$55,CHAR(10),""))+1)),
IF(_xlpm.r=0,"",_xlpm.r)
))</f>
        <v/>
      </c>
      <c r="AM62" s="61" t="str" cm="1">
        <f t="array" ref="AM62">IF($C62="","",_xlfn.LET(
_xlpm.r,SUMPRODUCT((ISNUMBER(SEARCH($C62,$C$6:$C$55)))*(AM$6:AM$55)/(LEN($C$6:$C$55)-LEN(SUBSTITUTE($C$6:$C$55,CHAR(10),""))+1)),
IF(_xlpm.r=0,"",_xlpm.r)
))</f>
        <v/>
      </c>
      <c r="AN62" s="61" t="str" cm="1">
        <f t="array" ref="AN62">IF($C62="","",_xlfn.LET(
_xlpm.r,SUMPRODUCT((ISNUMBER(SEARCH($C62,$C$6:$C$55)))*(AN$6:AN$55)/(LEN($C$6:$C$55)-LEN(SUBSTITUTE($C$6:$C$55,CHAR(10),""))+1)),
IF(_xlpm.r=0,"",_xlpm.r)
))</f>
        <v/>
      </c>
      <c r="AO62" s="61" t="str" cm="1">
        <f t="array" ref="AO62">IF($C62="","",_xlfn.LET(
_xlpm.r,SUMPRODUCT((ISNUMBER(SEARCH($C62,$C$6:$C$55)))*(AO$6:AO$55)/(LEN($C$6:$C$55)-LEN(SUBSTITUTE($C$6:$C$55,CHAR(10),""))+1)),
IF(_xlpm.r=0,"",_xlpm.r)
))</f>
        <v/>
      </c>
      <c r="AP62" s="61" t="str" cm="1">
        <f t="array" ref="AP62">IF($C62="","",_xlfn.LET(
_xlpm.r,SUMPRODUCT((ISNUMBER(SEARCH($C62,$C$6:$C$55)))*(AP$6:AP$55)/(LEN($C$6:$C$55)-LEN(SUBSTITUTE($C$6:$C$55,CHAR(10),""))+1)),
IF(_xlpm.r=0,"",_xlpm.r)
))</f>
        <v/>
      </c>
      <c r="AQ62" s="61" t="str" cm="1">
        <f t="array" ref="AQ62">IF($C62="","",_xlfn.LET(
_xlpm.r,SUMPRODUCT((ISNUMBER(SEARCH($C62,$C$6:$C$55)))*(AQ$6:AQ$55)/(LEN($C$6:$C$55)-LEN(SUBSTITUTE($C$6:$C$55,CHAR(10),""))+1)),
IF(_xlpm.r=0,"",_xlpm.r)
))</f>
        <v/>
      </c>
      <c r="AR62" s="61" t="str" cm="1">
        <f t="array" ref="AR62">IF($C62="","",_xlfn.LET(
_xlpm.r,SUMPRODUCT((ISNUMBER(SEARCH($C62,$C$6:$C$55)))*(AR$6:AR$55)/(LEN($C$6:$C$55)-LEN(SUBSTITUTE($C$6:$C$55,CHAR(10),""))+1)),
IF(_xlpm.r=0,"",_xlpm.r)
))</f>
        <v/>
      </c>
      <c r="AS62" s="61" t="str" cm="1">
        <f t="array" ref="AS62">IF($C62="","",_xlfn.LET(
_xlpm.r,SUMPRODUCT((ISNUMBER(SEARCH($C62,$C$6:$C$55)))*(AS$6:AS$55)/(LEN($C$6:$C$55)-LEN(SUBSTITUTE($C$6:$C$55,CHAR(10),""))+1)),
IF(_xlpm.r=0,"",_xlpm.r)
))</f>
        <v/>
      </c>
      <c r="AT62" s="61" t="str" cm="1">
        <f t="array" ref="AT62">IF($C62="","",_xlfn.LET(
_xlpm.r,SUMPRODUCT((ISNUMBER(SEARCH($C62,$C$6:$C$55)))*(AT$6:AT$55)/(LEN($C$6:$C$55)-LEN(SUBSTITUTE($C$6:$C$55,CHAR(10),""))+1)),
IF(_xlpm.r=0,"",_xlpm.r)
))</f>
        <v/>
      </c>
      <c r="AU62" s="61" t="str" cm="1">
        <f t="array" ref="AU62">IF($C62="","",_xlfn.LET(
_xlpm.r,SUMPRODUCT((ISNUMBER(SEARCH($C62,$C$6:$C$55)))*(AU$6:AU$55)/(LEN($C$6:$C$55)-LEN(SUBSTITUTE($C$6:$C$55,CHAR(10),""))+1)),
IF(_xlpm.r=0,"",_xlpm.r)
))</f>
        <v/>
      </c>
      <c r="AV62" s="61" t="str" cm="1">
        <f t="array" ref="AV62">IF($C62="","",_xlfn.LET(
_xlpm.r,SUMPRODUCT((ISNUMBER(SEARCH($C62,$C$6:$C$55)))*(AV$6:AV$55)/(LEN($C$6:$C$55)-LEN(SUBSTITUTE($C$6:$C$55,CHAR(10),""))+1)),
IF(_xlpm.r=0,"",_xlpm.r)
))</f>
        <v/>
      </c>
      <c r="AW62" s="61" t="str" cm="1">
        <f t="array" ref="AW62">IF($C62="","",_xlfn.LET(
_xlpm.r,SUMPRODUCT((ISNUMBER(SEARCH($C62,$C$6:$C$55)))*(AW$6:AW$55)/(LEN($C$6:$C$55)-LEN(SUBSTITUTE($C$6:$C$55,CHAR(10),""))+1)),
IF(_xlpm.r=0,"",_xlpm.r)
))</f>
        <v/>
      </c>
      <c r="AX62" s="61" t="str" cm="1">
        <f t="array" ref="AX62">IF($C62="","",_xlfn.LET(
_xlpm.r,SUMPRODUCT((ISNUMBER(SEARCH($C62,$C$6:$C$55)))*(AX$6:AX$55)/(LEN($C$6:$C$55)-LEN(SUBSTITUTE($C$6:$C$55,CHAR(10),""))+1)),
IF(_xlpm.r=0,"",_xlpm.r)
))</f>
        <v/>
      </c>
      <c r="AY62" s="61" t="str" cm="1">
        <f t="array" ref="AY62">IF($C62="","",_xlfn.LET(
_xlpm.r,SUMPRODUCT((ISNUMBER(SEARCH($C62,$C$6:$C$55)))*(AY$6:AY$55)/(LEN($C$6:$C$55)-LEN(SUBSTITUTE($C$6:$C$55,CHAR(10),""))+1)),
IF(_xlpm.r=0,"",_xlpm.r)
))</f>
        <v/>
      </c>
      <c r="AZ62" s="61" t="str" cm="1">
        <f t="array" ref="AZ62">IF($C62="","",_xlfn.LET(
_xlpm.r,SUMPRODUCT((ISNUMBER(SEARCH($C62,$C$6:$C$55)))*(AZ$6:AZ$55)/(LEN($C$6:$C$55)-LEN(SUBSTITUTE($C$6:$C$55,CHAR(10),""))+1)),
IF(_xlpm.r=0,"",_xlpm.r)
))</f>
        <v/>
      </c>
      <c r="BA62" s="61" t="str" cm="1">
        <f t="array" ref="BA62">IF($C62="","",_xlfn.LET(
_xlpm.r,SUMPRODUCT((ISNUMBER(SEARCH($C62,$C$6:$C$55)))*(BA$6:BA$55)/(LEN($C$6:$C$55)-LEN(SUBSTITUTE($C$6:$C$55,CHAR(10),""))+1)),
IF(_xlpm.r=0,"",_xlpm.r)
))</f>
        <v/>
      </c>
      <c r="BB62" s="61" t="str" cm="1">
        <f t="array" ref="BB62">IF($C62="","",_xlfn.LET(
_xlpm.r,SUMPRODUCT((ISNUMBER(SEARCH($C62,$C$6:$C$55)))*(BB$6:BB$55)/(LEN($C$6:$C$55)-LEN(SUBSTITUTE($C$6:$C$55,CHAR(10),""))+1)),
IF(_xlpm.r=0,"",_xlpm.r)
))</f>
        <v/>
      </c>
      <c r="BC62" s="61" t="str" cm="1">
        <f t="array" ref="BC62">IF($C62="","",_xlfn.LET(
_xlpm.r,SUMPRODUCT((ISNUMBER(SEARCH($C62,$C$6:$C$55)))*(BC$6:BC$55)/(LEN($C$6:$C$55)-LEN(SUBSTITUTE($C$6:$C$55,CHAR(10),""))+1)),
IF(_xlpm.r=0,"",_xlpm.r)
))</f>
        <v/>
      </c>
      <c r="BD62" s="61" t="str" cm="1">
        <f t="array" ref="BD62">IF($C62="","",_xlfn.LET(
_xlpm.r,SUMPRODUCT((ISNUMBER(SEARCH($C62,$C$6:$C$55)))*(BD$6:BD$55)/(LEN($C$6:$C$55)-LEN(SUBSTITUTE($C$6:$C$55,CHAR(10),""))+1)),
IF(_xlpm.r=0,"",_xlpm.r)
))</f>
        <v/>
      </c>
      <c r="BE62" s="61" t="str" cm="1">
        <f t="array" ref="BE62">IF($C62="","",_xlfn.LET(
_xlpm.r,SUMPRODUCT((ISNUMBER(SEARCH($C62,$C$6:$C$55)))*(BE$6:BE$55)/(LEN($C$6:$C$55)-LEN(SUBSTITUTE($C$6:$C$55,CHAR(10),""))+1)),
IF(_xlpm.r=0,"",_xlpm.r)
))</f>
        <v/>
      </c>
      <c r="BF62" s="61" t="str" cm="1">
        <f t="array" ref="BF62">IF($C62="","",_xlfn.LET(
_xlpm.r,SUMPRODUCT((ISNUMBER(SEARCH($C62,$C$6:$C$55)))*(BF$6:BF$55)/(LEN($C$6:$C$55)-LEN(SUBSTITUTE($C$6:$C$55,CHAR(10),""))+1)),
IF(_xlpm.r=0,"",_xlpm.r)
))</f>
        <v/>
      </c>
      <c r="BG62" s="61" t="str" cm="1">
        <f t="array" ref="BG62">IF($C62="","",_xlfn.LET(
_xlpm.r,SUMPRODUCT((ISNUMBER(SEARCH($C62,$C$6:$C$55)))*(BG$6:BG$55)/(LEN($C$6:$C$55)-LEN(SUBSTITUTE($C$6:$C$55,CHAR(10),""))+1)),
IF(_xlpm.r=0,"",_xlpm.r)
))</f>
        <v/>
      </c>
      <c r="BH62" s="61" t="str" cm="1">
        <f t="array" ref="BH62">IF($C62="","",_xlfn.LET(
_xlpm.r,SUMPRODUCT((ISNUMBER(SEARCH($C62,$C$6:$C$55)))*(BH$6:BH$55)/(LEN($C$6:$C$55)-LEN(SUBSTITUTE($C$6:$C$55,CHAR(10),""))+1)),
IF(_xlpm.r=0,"",_xlpm.r)
))</f>
        <v/>
      </c>
      <c r="BI62" s="61" t="str" cm="1">
        <f t="array" ref="BI62">IF($C62="","",_xlfn.LET(
_xlpm.r,SUMPRODUCT((ISNUMBER(SEARCH($C62,$C$6:$C$55)))*(BI$6:BI$55)/(LEN($C$6:$C$55)-LEN(SUBSTITUTE($C$6:$C$55,CHAR(10),""))+1)),
IF(_xlpm.r=0,"",_xlpm.r)
))</f>
        <v/>
      </c>
      <c r="BJ62" s="61" t="str" cm="1">
        <f t="array" ref="BJ62">IF($C62="","",_xlfn.LET(
_xlpm.r,SUMPRODUCT((ISNUMBER(SEARCH($C62,$C$6:$C$55)))*(BJ$6:BJ$55)/(LEN($C$6:$C$55)-LEN(SUBSTITUTE($C$6:$C$55,CHAR(10),""))+1)),
IF(_xlpm.r=0,"",_xlpm.r)
))</f>
        <v/>
      </c>
      <c r="BK62" s="61" t="str" cm="1">
        <f t="array" ref="BK62">IF($C62="","",_xlfn.LET(
_xlpm.r,SUMPRODUCT((ISNUMBER(SEARCH($C62,$C$6:$C$55)))*(BK$6:BK$55)/(LEN($C$6:$C$55)-LEN(SUBSTITUTE($C$6:$C$55,CHAR(10),""))+1)),
IF(_xlpm.r=0,"",_xlpm.r)
))</f>
        <v/>
      </c>
      <c r="BL62" s="61" t="str" cm="1">
        <f t="array" ref="BL62">IF($C62="","",_xlfn.LET(
_xlpm.r,SUMPRODUCT((ISNUMBER(SEARCH($C62,$C$6:$C$55)))*(BL$6:BL$55)/(LEN($C$6:$C$55)-LEN(SUBSTITUTE($C$6:$C$55,CHAR(10),""))+1)),
IF(_xlpm.r=0,"",_xlpm.r)
))</f>
        <v/>
      </c>
      <c r="BM62" s="61" t="str" cm="1">
        <f t="array" ref="BM62">IF($C62="","",_xlfn.LET(
_xlpm.r,SUMPRODUCT((ISNUMBER(SEARCH($C62,$C$6:$C$55)))*(BM$6:BM$55)/(LEN($C$6:$C$55)-LEN(SUBSTITUTE($C$6:$C$55,CHAR(10),""))+1)),
IF(_xlpm.r=0,"",_xlpm.r)
))</f>
        <v/>
      </c>
      <c r="BN62" s="61" t="str" cm="1">
        <f t="array" ref="BN62">IF($C62="","",_xlfn.LET(
_xlpm.r,SUMPRODUCT((ISNUMBER(SEARCH($C62,$C$6:$C$55)))*(BN$6:BN$55)/(LEN($C$6:$C$55)-LEN(SUBSTITUTE($C$6:$C$55,CHAR(10),""))+1)),
IF(_xlpm.r=0,"",_xlpm.r)
))</f>
        <v/>
      </c>
      <c r="BO62" s="61" t="str" cm="1">
        <f t="array" ref="BO62">IF($C62="","",_xlfn.LET(
_xlpm.r,SUMPRODUCT((ISNUMBER(SEARCH($C62,$C$6:$C$55)))*(BO$6:BO$55)/(LEN($C$6:$C$55)-LEN(SUBSTITUTE($C$6:$C$55,CHAR(10),""))+1)),
IF(_xlpm.r=0,"",_xlpm.r)
))</f>
        <v/>
      </c>
      <c r="BP62" s="61" t="str" cm="1">
        <f t="array" ref="BP62">IF($C62="","",_xlfn.LET(
_xlpm.r,SUMPRODUCT((ISNUMBER(SEARCH($C62,$C$6:$C$55)))*(BP$6:BP$55)/(LEN($C$6:$C$55)-LEN(SUBSTITUTE($C$6:$C$55,CHAR(10),""))+1)),
IF(_xlpm.r=0,"",_xlpm.r)
))</f>
        <v/>
      </c>
      <c r="BQ62" s="61" t="str" cm="1">
        <f t="array" ref="BQ62">IF($C62="","",_xlfn.LET(
_xlpm.r,SUMPRODUCT((ISNUMBER(SEARCH($C62,$C$6:$C$55)))*(BQ$6:BQ$55)/(LEN($C$6:$C$55)-LEN(SUBSTITUTE($C$6:$C$55,CHAR(10),""))+1)),
IF(_xlpm.r=0,"",_xlpm.r)
))</f>
        <v/>
      </c>
      <c r="BR62" s="61" t="str" cm="1">
        <f t="array" ref="BR62">IF($C62="","",_xlfn.LET(
_xlpm.r,SUMPRODUCT((ISNUMBER(SEARCH($C62,$C$6:$C$55)))*(BR$6:BR$55)/(LEN($C$6:$C$55)-LEN(SUBSTITUTE($C$6:$C$55,CHAR(10),""))+1)),
IF(_xlpm.r=0,"",_xlpm.r)
))</f>
        <v/>
      </c>
      <c r="BS62" s="61" t="str" cm="1">
        <f t="array" ref="BS62">IF($C62="","",_xlfn.LET(
_xlpm.r,SUMPRODUCT((ISNUMBER(SEARCH($C62,$C$6:$C$55)))*(BS$6:BS$55)/(LEN($C$6:$C$55)-LEN(SUBSTITUTE($C$6:$C$55,CHAR(10),""))+1)),
IF(_xlpm.r=0,"",_xlpm.r)
))</f>
        <v/>
      </c>
      <c r="BT62" s="61" t="str" cm="1">
        <f t="array" ref="BT62">IF($C62="","",_xlfn.LET(
_xlpm.r,SUMPRODUCT((ISNUMBER(SEARCH($C62,$C$6:$C$55)))*(BT$6:BT$55)/(LEN($C$6:$C$55)-LEN(SUBSTITUTE($C$6:$C$55,CHAR(10),""))+1)),
IF(_xlpm.r=0,"",_xlpm.r)
))</f>
        <v/>
      </c>
      <c r="BU62" s="61" t="str" cm="1">
        <f t="array" ref="BU62">IF($C62="","",_xlfn.LET(
_xlpm.r,SUMPRODUCT((ISNUMBER(SEARCH($C62,$C$6:$C$55)))*(BU$6:BU$55)/(LEN($C$6:$C$55)-LEN(SUBSTITUTE($C$6:$C$55,CHAR(10),""))+1)),
IF(_xlpm.r=0,"",_xlpm.r)
))</f>
        <v/>
      </c>
      <c r="BV62" s="61" t="str" cm="1">
        <f t="array" ref="BV62">IF($C62="","",_xlfn.LET(
_xlpm.r,SUMPRODUCT((ISNUMBER(SEARCH($C62,$C$6:$C$55)))*(BV$6:BV$55)/(LEN($C$6:$C$55)-LEN(SUBSTITUTE($C$6:$C$55,CHAR(10),""))+1)),
IF(_xlpm.r=0,"",_xlpm.r)
))</f>
        <v/>
      </c>
      <c r="BW62" s="61" t="str" cm="1">
        <f t="array" ref="BW62">IF($C62="","",_xlfn.LET(
_xlpm.r,SUMPRODUCT((ISNUMBER(SEARCH($C62,$C$6:$C$55)))*(BW$6:BW$55)/(LEN($C$6:$C$55)-LEN(SUBSTITUTE($C$6:$C$55,CHAR(10),""))+1)),
IF(_xlpm.r=0,"",_xlpm.r)
))</f>
        <v/>
      </c>
      <c r="BX62" s="61" t="str" cm="1">
        <f t="array" ref="BX62">IF($C62="","",_xlfn.LET(
_xlpm.r,SUMPRODUCT((ISNUMBER(SEARCH($C62,$C$6:$C$55)))*(BX$6:BX$55)/(LEN($C$6:$C$55)-LEN(SUBSTITUTE($C$6:$C$55,CHAR(10),""))+1)),
IF(_xlpm.r=0,"",_xlpm.r)
))</f>
        <v/>
      </c>
      <c r="BY62" s="61" t="str" cm="1">
        <f t="array" ref="BY62">IF($C62="","",_xlfn.LET(
_xlpm.r,SUMPRODUCT((ISNUMBER(SEARCH($C62,$C$6:$C$55)))*(BY$6:BY$55)/(LEN($C$6:$C$55)-LEN(SUBSTITUTE($C$6:$C$55,CHAR(10),""))+1)),
IF(_xlpm.r=0,"",_xlpm.r)
))</f>
        <v/>
      </c>
      <c r="BZ62" s="61" t="str" cm="1">
        <f t="array" ref="BZ62">IF($C62="","",_xlfn.LET(
_xlpm.r,SUMPRODUCT((ISNUMBER(SEARCH($C62,$C$6:$C$55)))*(BZ$6:BZ$55)/(LEN($C$6:$C$55)-LEN(SUBSTITUTE($C$6:$C$55,CHAR(10),""))+1)),
IF(_xlpm.r=0,"",_xlpm.r)
))</f>
        <v/>
      </c>
      <c r="CA62" s="61" t="str" cm="1">
        <f t="array" ref="CA62">IF($C62="","",_xlfn.LET(
_xlpm.r,SUMPRODUCT((ISNUMBER(SEARCH($C62,$C$6:$C$55)))*(CA$6:CA$55)/(LEN($C$6:$C$55)-LEN(SUBSTITUTE($C$6:$C$55,CHAR(10),""))+1)),
IF(_xlpm.r=0,"",_xlpm.r)
))</f>
        <v/>
      </c>
      <c r="CB62" s="61" t="str" cm="1">
        <f t="array" ref="CB62">IF($C62="","",_xlfn.LET(
_xlpm.r,SUMPRODUCT((ISNUMBER(SEARCH($C62,$C$6:$C$55)))*(CB$6:CB$55)/(LEN($C$6:$C$55)-LEN(SUBSTITUTE($C$6:$C$55,CHAR(10),""))+1)),
IF(_xlpm.r=0,"",_xlpm.r)
))</f>
        <v/>
      </c>
      <c r="CC62" s="61" t="str" cm="1">
        <f t="array" ref="CC62">IF($C62="","",_xlfn.LET(
_xlpm.r,SUMPRODUCT((ISNUMBER(SEARCH($C62,$C$6:$C$55)))*(CC$6:CC$55)/(LEN($C$6:$C$55)-LEN(SUBSTITUTE($C$6:$C$55,CHAR(10),""))+1)),
IF(_xlpm.r=0,"",_xlpm.r)
))</f>
        <v/>
      </c>
      <c r="CD62" s="61" t="str" cm="1">
        <f t="array" ref="CD62">IF($C62="","",_xlfn.LET(
_xlpm.r,SUMPRODUCT((ISNUMBER(SEARCH($C62,$C$6:$C$55)))*(CD$6:CD$55)/(LEN($C$6:$C$55)-LEN(SUBSTITUTE($C$6:$C$55,CHAR(10),""))+1)),
IF(_xlpm.r=0,"",_xlpm.r)
))</f>
        <v/>
      </c>
      <c r="CE62" s="61" t="str" cm="1">
        <f t="array" ref="CE62">IF($C62="","",_xlfn.LET(
_xlpm.r,SUMPRODUCT((ISNUMBER(SEARCH($C62,$C$6:$C$55)))*(CE$6:CE$55)/(LEN($C$6:$C$55)-LEN(SUBSTITUTE($C$6:$C$55,CHAR(10),""))+1)),
IF(_xlpm.r=0,"",_xlpm.r)
))</f>
        <v/>
      </c>
      <c r="CF62" s="61" t="str" cm="1">
        <f t="array" ref="CF62">IF($C62="","",_xlfn.LET(
_xlpm.r,SUMPRODUCT((ISNUMBER(SEARCH($C62,$C$6:$C$55)))*(CF$6:CF$55)/(LEN($C$6:$C$55)-LEN(SUBSTITUTE($C$6:$C$55,CHAR(10),""))+1)),
IF(_xlpm.r=0,"",_xlpm.r)
))</f>
        <v/>
      </c>
      <c r="CG62" s="61" t="str" cm="1">
        <f t="array" ref="CG62">IF($C62="","",_xlfn.LET(
_xlpm.r,SUMPRODUCT((ISNUMBER(SEARCH($C62,$C$6:$C$55)))*(CG$6:CG$55)/(LEN($C$6:$C$55)-LEN(SUBSTITUTE($C$6:$C$55,CHAR(10),""))+1)),
IF(_xlpm.r=0,"",_xlpm.r)
))</f>
        <v/>
      </c>
      <c r="CH62" s="61" t="str" cm="1">
        <f t="array" ref="CH62">IF($C62="","",_xlfn.LET(
_xlpm.r,SUMPRODUCT((ISNUMBER(SEARCH($C62,$C$6:$C$55)))*(CH$6:CH$55)/(LEN($C$6:$C$55)-LEN(SUBSTITUTE($C$6:$C$55,CHAR(10),""))+1)),
IF(_xlpm.r=0,"",_xlpm.r)
))</f>
        <v/>
      </c>
      <c r="CI62" s="61" t="str" cm="1">
        <f t="array" ref="CI62">IF($C62="","",_xlfn.LET(
_xlpm.r,SUMPRODUCT((ISNUMBER(SEARCH($C62,$C$6:$C$55)))*(CI$6:CI$55)/(LEN($C$6:$C$55)-LEN(SUBSTITUTE($C$6:$C$55,CHAR(10),""))+1)),
IF(_xlpm.r=0,"",_xlpm.r)
))</f>
        <v/>
      </c>
      <c r="CJ62" s="61" t="str" cm="1">
        <f t="array" ref="CJ62">IF($C62="","",_xlfn.LET(
_xlpm.r,SUMPRODUCT((ISNUMBER(SEARCH($C62,$C$6:$C$55)))*(CJ$6:CJ$55)/(LEN($C$6:$C$55)-LEN(SUBSTITUTE($C$6:$C$55,CHAR(10),""))+1)),
IF(_xlpm.r=0,"",_xlpm.r)
))</f>
        <v/>
      </c>
      <c r="CK62" s="61" t="str" cm="1">
        <f t="array" ref="CK62">IF($C62="","",_xlfn.LET(
_xlpm.r,SUMPRODUCT((ISNUMBER(SEARCH($C62,$C$6:$C$55)))*(CK$6:CK$55)/(LEN($C$6:$C$55)-LEN(SUBSTITUTE($C$6:$C$55,CHAR(10),""))+1)),
IF(_xlpm.r=0,"",_xlpm.r)
))</f>
        <v/>
      </c>
      <c r="CL62" s="61" t="str" cm="1">
        <f t="array" ref="CL62">IF($C62="","",_xlfn.LET(
_xlpm.r,SUMPRODUCT((ISNUMBER(SEARCH($C62,$C$6:$C$55)))*(CL$6:CL$55)/(LEN($C$6:$C$55)-LEN(SUBSTITUTE($C$6:$C$55,CHAR(10),""))+1)),
IF(_xlpm.r=0,"",_xlpm.r)
))</f>
        <v/>
      </c>
      <c r="CM62" s="61" t="str" cm="1">
        <f t="array" ref="CM62">IF($C62="","",_xlfn.LET(
_xlpm.r,SUMPRODUCT((ISNUMBER(SEARCH($C62,$C$6:$C$55)))*(CM$6:CM$55)/(LEN($C$6:$C$55)-LEN(SUBSTITUTE($C$6:$C$55,CHAR(10),""))+1)),
IF(_xlpm.r=0,"",_xlpm.r)
))</f>
        <v/>
      </c>
      <c r="CN62" s="61" t="str" cm="1">
        <f t="array" ref="CN62">IF($C62="","",_xlfn.LET(
_xlpm.r,SUMPRODUCT((ISNUMBER(SEARCH($C62,$C$6:$C$55)))*(CN$6:CN$55)/(LEN($C$6:$C$55)-LEN(SUBSTITUTE($C$6:$C$55,CHAR(10),""))+1)),
IF(_xlpm.r=0,"",_xlpm.r)
))</f>
        <v/>
      </c>
      <c r="CO62" s="61" t="str" cm="1">
        <f t="array" ref="CO62">IF($C62="","",_xlfn.LET(
_xlpm.r,SUMPRODUCT((ISNUMBER(SEARCH($C62,$C$6:$C$55)))*(CO$6:CO$55)/(LEN($C$6:$C$55)-LEN(SUBSTITUTE($C$6:$C$55,CHAR(10),""))+1)),
IF(_xlpm.r=0,"",_xlpm.r)
))</f>
        <v/>
      </c>
      <c r="CP62" s="61" t="str" cm="1">
        <f t="array" ref="CP62">IF($C62="","",_xlfn.LET(
_xlpm.r,SUMPRODUCT((ISNUMBER(SEARCH($C62,$C$6:$C$55)))*(CP$6:CP$55)/(LEN($C$6:$C$55)-LEN(SUBSTITUTE($C$6:$C$55,CHAR(10),""))+1)),
IF(_xlpm.r=0,"",_xlpm.r)
))</f>
        <v/>
      </c>
      <c r="CQ62" s="61" t="str" cm="1">
        <f t="array" ref="CQ62">IF($C62="","",_xlfn.LET(
_xlpm.r,SUMPRODUCT((ISNUMBER(SEARCH($C62,$C$6:$C$55)))*(CQ$6:CQ$55)/(LEN($C$6:$C$55)-LEN(SUBSTITUTE($C$6:$C$55,CHAR(10),""))+1)),
IF(_xlpm.r=0,"",_xlpm.r)
))</f>
        <v/>
      </c>
      <c r="CR62" s="61" t="str" cm="1">
        <f t="array" ref="CR62">IF($C62="","",_xlfn.LET(
_xlpm.r,SUMPRODUCT((ISNUMBER(SEARCH($C62,$C$6:$C$55)))*(CR$6:CR$55)/(LEN($C$6:$C$55)-LEN(SUBSTITUTE($C$6:$C$55,CHAR(10),""))+1)),
IF(_xlpm.r=0,"",_xlpm.r)
))</f>
        <v/>
      </c>
      <c r="CS62" s="61" t="str" cm="1">
        <f t="array" ref="CS62">IF($C62="","",_xlfn.LET(
_xlpm.r,SUMPRODUCT((ISNUMBER(SEARCH($C62,$C$6:$C$55)))*(CS$6:CS$55)/(LEN($C$6:$C$55)-LEN(SUBSTITUTE($C$6:$C$55,CHAR(10),""))+1)),
IF(_xlpm.r=0,"",_xlpm.r)
))</f>
        <v/>
      </c>
      <c r="CT62" s="61" t="str" cm="1">
        <f t="array" ref="CT62">IF($C62="","",_xlfn.LET(
_xlpm.r,SUMPRODUCT((ISNUMBER(SEARCH($C62,$C$6:$C$55)))*(CT$6:CT$55)/(LEN($C$6:$C$55)-LEN(SUBSTITUTE($C$6:$C$55,CHAR(10),""))+1)),
IF(_xlpm.r=0,"",_xlpm.r)
))</f>
        <v/>
      </c>
      <c r="CU62" s="61" t="str" cm="1">
        <f t="array" ref="CU62">IF($C62="","",_xlfn.LET(
_xlpm.r,SUMPRODUCT((ISNUMBER(SEARCH($C62,$C$6:$C$55)))*(CU$6:CU$55)/(LEN($C$6:$C$55)-LEN(SUBSTITUTE($C$6:$C$55,CHAR(10),""))+1)),
IF(_xlpm.r=0,"",_xlpm.r)
))</f>
        <v/>
      </c>
      <c r="CV62" s="61" t="str" cm="1">
        <f t="array" ref="CV62">IF($C62="","",_xlfn.LET(
_xlpm.r,SUMPRODUCT((ISNUMBER(SEARCH($C62,$C$6:$C$55)))*(CV$6:CV$55)/(LEN($C$6:$C$55)-LEN(SUBSTITUTE($C$6:$C$55,CHAR(10),""))+1)),
IF(_xlpm.r=0,"",_xlpm.r)
))</f>
        <v/>
      </c>
      <c r="CW62" s="61" t="str" cm="1">
        <f t="array" ref="CW62">IF($C62="","",_xlfn.LET(
_xlpm.r,SUMPRODUCT((ISNUMBER(SEARCH($C62,$C$6:$C$55)))*(CW$6:CW$55)/(LEN($C$6:$C$55)-LEN(SUBSTITUTE($C$6:$C$55,CHAR(10),""))+1)),
IF(_xlpm.r=0,"",_xlpm.r)
))</f>
        <v/>
      </c>
      <c r="CX62" s="61" t="str" cm="1">
        <f t="array" ref="CX62">IF($C62="","",_xlfn.LET(
_xlpm.r,SUMPRODUCT((ISNUMBER(SEARCH($C62,$C$6:$C$55)))*(CX$6:CX$55)/(LEN($C$6:$C$55)-LEN(SUBSTITUTE($C$6:$C$55,CHAR(10),""))+1)),
IF(_xlpm.r=0,"",_xlpm.r)
))</f>
        <v/>
      </c>
      <c r="CY62" s="61" t="str" cm="1">
        <f t="array" ref="CY62">IF($C62="","",_xlfn.LET(
_xlpm.r,SUMPRODUCT((ISNUMBER(SEARCH($C62,$C$6:$C$55)))*(CY$6:CY$55)/(LEN($C$6:$C$55)-LEN(SUBSTITUTE($C$6:$C$55,CHAR(10),""))+1)),
IF(_xlpm.r=0,"",_xlpm.r)
))</f>
        <v/>
      </c>
      <c r="CZ62" s="61" t="str" cm="1">
        <f t="array" ref="CZ62">IF($C62="","",_xlfn.LET(
_xlpm.r,SUMPRODUCT((ISNUMBER(SEARCH($C62,$C$6:$C$55)))*(CZ$6:CZ$55)/(LEN($C$6:$C$55)-LEN(SUBSTITUTE($C$6:$C$55,CHAR(10),""))+1)),
IF(_xlpm.r=0,"",_xlpm.r)
))</f>
        <v/>
      </c>
      <c r="DA62" s="61" t="str" cm="1">
        <f t="array" ref="DA62">IF($C62="","",_xlfn.LET(
_xlpm.r,SUMPRODUCT((ISNUMBER(SEARCH($C62,$C$6:$C$55)))*(DA$6:DA$55)/(LEN($C$6:$C$55)-LEN(SUBSTITUTE($C$6:$C$55,CHAR(10),""))+1)),
IF(_xlpm.r=0,"",_xlpm.r)
))</f>
        <v/>
      </c>
      <c r="DB62" s="61" t="str" cm="1">
        <f t="array" ref="DB62">IF($C62="","",_xlfn.LET(
_xlpm.r,SUMPRODUCT((ISNUMBER(SEARCH($C62,$C$6:$C$55)))*(DB$6:DB$55)/(LEN($C$6:$C$55)-LEN(SUBSTITUTE($C$6:$C$55,CHAR(10),""))+1)),
IF(_xlpm.r=0,"",_xlpm.r)
))</f>
        <v/>
      </c>
      <c r="DC62" s="61" t="str" cm="1">
        <f t="array" ref="DC62">IF($C62="","",_xlfn.LET(
_xlpm.r,SUMPRODUCT((ISNUMBER(SEARCH($C62,$C$6:$C$55)))*(DC$6:DC$55)/(LEN($C$6:$C$55)-LEN(SUBSTITUTE($C$6:$C$55,CHAR(10),""))+1)),
IF(_xlpm.r=0,"",_xlpm.r)
))</f>
        <v/>
      </c>
      <c r="DD62" s="61" t="str" cm="1">
        <f t="array" ref="DD62">IF($C62="","",_xlfn.LET(
_xlpm.r,SUMPRODUCT((ISNUMBER(SEARCH($C62,$C$6:$C$55)))*(DD$6:DD$55)/(LEN($C$6:$C$55)-LEN(SUBSTITUTE($C$6:$C$55,CHAR(10),""))+1)),
IF(_xlpm.r=0,"",_xlpm.r)
))</f>
        <v/>
      </c>
    </row>
    <row r="63" spans="1:112" x14ac:dyDescent="0.3">
      <c r="C63" s="3"/>
      <c r="D63" s="44"/>
      <c r="E63" s="56" t="str" cm="1">
        <f t="array" ref="E63">IF($C63="","",_xlfn.LET(
_xlpm.r,SUMPRODUCT((ISNUMBER(SEARCH($C63,$C$6:$C$55)))*(E$6:E$55)/(LEN($C$6:$C$55)-LEN(SUBSTITUTE($C$6:$C$55,CHAR(10),""))+1)),
IF(_xlpm.r=0,"",_xlpm.r)
))</f>
        <v/>
      </c>
      <c r="F63" s="56" t="str" cm="1">
        <f t="array" ref="F63">IF($C63="","",_xlfn.LET(
_xlpm.r,SUMPRODUCT((ISNUMBER(SEARCH($C63,$C$6:$C$55)))*(F$6:F$55)/(LEN($C$6:$C$55)-LEN(SUBSTITUTE($C$6:$C$55,CHAR(10),""))+1)),
IF(_xlpm.r=0,"",_xlpm.r)
))</f>
        <v/>
      </c>
      <c r="G63" s="56" t="str" cm="1">
        <f t="array" ref="G63">IF($C63="","",_xlfn.LET(
_xlpm.r,SUMPRODUCT((ISNUMBER(SEARCH($C63,$C$6:$C$55)))*(G$6:G$55)/(LEN($C$6:$C$55)-LEN(SUBSTITUTE($C$6:$C$55,CHAR(10),""))+1)),
IF(_xlpm.r=0,"",_xlpm.r)
))</f>
        <v/>
      </c>
      <c r="H63" s="56" t="str" cm="1">
        <f t="array" ref="H63">IF($C63="","",_xlfn.LET(
_xlpm.r,SUMPRODUCT((ISNUMBER(SEARCH($C63,$C$6:$C$55)))*(H$6:H$55)/(LEN($C$6:$C$55)-LEN(SUBSTITUTE($C$6:$C$55,CHAR(10),""))+1)),
IF(_xlpm.r=0,"",_xlpm.r)
))</f>
        <v/>
      </c>
      <c r="I63" s="56" t="str" cm="1">
        <f t="array" ref="I63">IF($C63="","",_xlfn.LET(
_xlpm.r,SUMPRODUCT((ISNUMBER(SEARCH($C63,$C$6:$C$55)))*(I$6:I$55)/(LEN($C$6:$C$55)-LEN(SUBSTITUTE($C$6:$C$55,CHAR(10),""))+1)),
IF(_xlpm.r=0,"",_xlpm.r)
))</f>
        <v/>
      </c>
      <c r="J63" s="56" t="str" cm="1">
        <f t="array" ref="J63">IF($C63="","",_xlfn.LET(
_xlpm.r,SUMPRODUCT((ISNUMBER(SEARCH($C63,$C$6:$C$55)))*(J$6:J$55)/(LEN($C$6:$C$55)-LEN(SUBSTITUTE($C$6:$C$55,CHAR(10),""))+1)),
IF(_xlpm.r=0,"",_xlpm.r)
))</f>
        <v/>
      </c>
      <c r="K63" s="56" t="str" cm="1">
        <f t="array" ref="K63">IF($C63="","",_xlfn.LET(
_xlpm.r,SUMPRODUCT((ISNUMBER(SEARCH($C63,$C$6:$C$55)))*(K$6:K$55)/(LEN($C$6:$C$55)-LEN(SUBSTITUTE($C$6:$C$55,CHAR(10),""))+1)),
IF(_xlpm.r=0,"",_xlpm.r)
))</f>
        <v/>
      </c>
      <c r="L63" s="56" t="str" cm="1">
        <f t="array" ref="L63">IF($C63="","",_xlfn.LET(
_xlpm.r,SUMPRODUCT((ISNUMBER(SEARCH($C63,$C$6:$C$55)))*(L$6:L$55)/(LEN($C$6:$C$55)-LEN(SUBSTITUTE($C$6:$C$55,CHAR(10),""))+1)),
IF(_xlpm.r=0,"",_xlpm.r)
))</f>
        <v/>
      </c>
      <c r="M63" s="56" t="str" cm="1">
        <f t="array" ref="M63">IF($C63="","",_xlfn.LET(
_xlpm.r,SUMPRODUCT((ISNUMBER(SEARCH($C63,$C$6:$C$55)))*(M$6:M$55)/(LEN($C$6:$C$55)-LEN(SUBSTITUTE($C$6:$C$55,CHAR(10),""))+1)),
IF(_xlpm.r=0,"",_xlpm.r)
))</f>
        <v/>
      </c>
      <c r="N63" s="56" t="str" cm="1">
        <f t="array" ref="N63">IF($C63="","",_xlfn.LET(
_xlpm.r,SUMPRODUCT((ISNUMBER(SEARCH($C63,$C$6:$C$55)))*(N$6:N$55)/(LEN($C$6:$C$55)-LEN(SUBSTITUTE($C$6:$C$55,CHAR(10),""))+1)),
IF(_xlpm.r=0,"",_xlpm.r)
))</f>
        <v/>
      </c>
      <c r="O63" s="56" t="str" cm="1">
        <f t="array" ref="O63">IF($C63="","",_xlfn.LET(
_xlpm.r,SUMPRODUCT((ISNUMBER(SEARCH($C63,$C$6:$C$55)))*(O$6:O$55)/(LEN($C$6:$C$55)-LEN(SUBSTITUTE($C$6:$C$55,CHAR(10),""))+1)),
IF(_xlpm.r=0,"",_xlpm.r)
))</f>
        <v/>
      </c>
      <c r="P63" s="56" t="str" cm="1">
        <f t="array" ref="P63">IF($C63="","",_xlfn.LET(
_xlpm.r,SUMPRODUCT((ISNUMBER(SEARCH($C63,$C$6:$C$55)))*(P$6:P$55)/(LEN($C$6:$C$55)-LEN(SUBSTITUTE($C$6:$C$55,CHAR(10),""))+1)),
IF(_xlpm.r=0,"",_xlpm.r)
))</f>
        <v/>
      </c>
      <c r="Q63" s="56" t="str" cm="1">
        <f t="array" ref="Q63">IF($C63="","",_xlfn.LET(
_xlpm.r,SUMPRODUCT((ISNUMBER(SEARCH($C63,$C$6:$C$55)))*(Q$6:Q$55)/(LEN($C$6:$C$55)-LEN(SUBSTITUTE($C$6:$C$55,CHAR(10),""))+1)),
IF(_xlpm.r=0,"",_xlpm.r)
))</f>
        <v/>
      </c>
      <c r="R63" s="56" t="str" cm="1">
        <f t="array" ref="R63">IF($C63="","",_xlfn.LET(
_xlpm.r,SUMPRODUCT((ISNUMBER(SEARCH($C63,$C$6:$C$55)))*(R$6:R$55)/(LEN($C$6:$C$55)-LEN(SUBSTITUTE($C$6:$C$55,CHAR(10),""))+1)),
IF(_xlpm.r=0,"",_xlpm.r)
))</f>
        <v/>
      </c>
      <c r="S63" s="56" t="str" cm="1">
        <f t="array" ref="S63">IF($C63="","",_xlfn.LET(
_xlpm.r,SUMPRODUCT((ISNUMBER(SEARCH($C63,$C$6:$C$55)))*(S$6:S$55)/(LEN($C$6:$C$55)-LEN(SUBSTITUTE($C$6:$C$55,CHAR(10),""))+1)),
IF(_xlpm.r=0,"",_xlpm.r)
))</f>
        <v/>
      </c>
      <c r="T63" s="56" t="str" cm="1">
        <f t="array" ref="T63">IF($C63="","",_xlfn.LET(
_xlpm.r,SUMPRODUCT((ISNUMBER(SEARCH($C63,$C$6:$C$55)))*(T$6:T$55)/(LEN($C$6:$C$55)-LEN(SUBSTITUTE($C$6:$C$55,CHAR(10),""))+1)),
IF(_xlpm.r=0,"",_xlpm.r)
))</f>
        <v/>
      </c>
      <c r="U63" s="56" t="str" cm="1">
        <f t="array" ref="U63">IF($C63="","",_xlfn.LET(
_xlpm.r,SUMPRODUCT((ISNUMBER(SEARCH($C63,$C$6:$C$55)))*(U$6:U$55)/(LEN($C$6:$C$55)-LEN(SUBSTITUTE($C$6:$C$55,CHAR(10),""))+1)),
IF(_xlpm.r=0,"",_xlpm.r)
))</f>
        <v/>
      </c>
      <c r="V63" s="56" t="str" cm="1">
        <f t="array" ref="V63">IF($C63="","",_xlfn.LET(
_xlpm.r,SUMPRODUCT((ISNUMBER(SEARCH($C63,$C$6:$C$55)))*(V$6:V$55)/(LEN($C$6:$C$55)-LEN(SUBSTITUTE($C$6:$C$55,CHAR(10),""))+1)),
IF(_xlpm.r=0,"",_xlpm.r)
))</f>
        <v/>
      </c>
      <c r="W63" s="56" t="str" cm="1">
        <f t="array" ref="W63">IF($C63="","",_xlfn.LET(
_xlpm.r,SUMPRODUCT((ISNUMBER(SEARCH($C63,$C$6:$C$55)))*(W$6:W$55)/(LEN($C$6:$C$55)-LEN(SUBSTITUTE($C$6:$C$55,CHAR(10),""))+1)),
IF(_xlpm.r=0,"",_xlpm.r)
))</f>
        <v/>
      </c>
      <c r="X63" s="56" t="str" cm="1">
        <f t="array" ref="X63">IF($C63="","",_xlfn.LET(
_xlpm.r,SUMPRODUCT((ISNUMBER(SEARCH($C63,$C$6:$C$55)))*(X$6:X$55)/(LEN($C$6:$C$55)-LEN(SUBSTITUTE($C$6:$C$55,CHAR(10),""))+1)),
IF(_xlpm.r=0,"",_xlpm.r)
))</f>
        <v/>
      </c>
      <c r="Y63" s="56" t="str" cm="1">
        <f t="array" ref="Y63">IF($C63="","",_xlfn.LET(
_xlpm.r,SUMPRODUCT((ISNUMBER(SEARCH($C63,$C$6:$C$55)))*(Y$6:Y$55)/(LEN($C$6:$C$55)-LEN(SUBSTITUTE($C$6:$C$55,CHAR(10),""))+1)),
IF(_xlpm.r=0,"",_xlpm.r)
))</f>
        <v/>
      </c>
      <c r="Z63" s="56" t="str" cm="1">
        <f t="array" ref="Z63">IF($C63="","",_xlfn.LET(
_xlpm.r,SUMPRODUCT((ISNUMBER(SEARCH($C63,$C$6:$C$55)))*(Z$6:Z$55)/(LEN($C$6:$C$55)-LEN(SUBSTITUTE($C$6:$C$55,CHAR(10),""))+1)),
IF(_xlpm.r=0,"",_xlpm.r)
))</f>
        <v/>
      </c>
      <c r="AA63" s="56" t="str" cm="1">
        <f t="array" ref="AA63">IF($C63="","",_xlfn.LET(
_xlpm.r,SUMPRODUCT((ISNUMBER(SEARCH($C63,$C$6:$C$55)))*(AA$6:AA$55)/(LEN($C$6:$C$55)-LEN(SUBSTITUTE($C$6:$C$55,CHAR(10),""))+1)),
IF(_xlpm.r=0,"",_xlpm.r)
))</f>
        <v/>
      </c>
      <c r="AB63" s="56" t="str" cm="1">
        <f t="array" ref="AB63">IF($C63="","",_xlfn.LET(
_xlpm.r,SUMPRODUCT((ISNUMBER(SEARCH($C63,$C$6:$C$55)))*(AB$6:AB$55)/(LEN($C$6:$C$55)-LEN(SUBSTITUTE($C$6:$C$55,CHAR(10),""))+1)),
IF(_xlpm.r=0,"",_xlpm.r)
))</f>
        <v/>
      </c>
      <c r="AC63" s="56" t="str" cm="1">
        <f t="array" ref="AC63">IF($C63="","",_xlfn.LET(
_xlpm.r,SUMPRODUCT((ISNUMBER(SEARCH($C63,$C$6:$C$55)))*(AC$6:AC$55)/(LEN($C$6:$C$55)-LEN(SUBSTITUTE($C$6:$C$55,CHAR(10),""))+1)),
IF(_xlpm.r=0,"",_xlpm.r)
))</f>
        <v/>
      </c>
      <c r="AD63" s="56" t="str" cm="1">
        <f t="array" ref="AD63">IF($C63="","",_xlfn.LET(
_xlpm.r,SUMPRODUCT((ISNUMBER(SEARCH($C63,$C$6:$C$55)))*(AD$6:AD$55)/(LEN($C$6:$C$55)-LEN(SUBSTITUTE($C$6:$C$55,CHAR(10),""))+1)),
IF(_xlpm.r=0,"",_xlpm.r)
))</f>
        <v/>
      </c>
      <c r="AE63" s="56" t="str" cm="1">
        <f t="array" ref="AE63">IF($C63="","",_xlfn.LET(
_xlpm.r,SUMPRODUCT((ISNUMBER(SEARCH($C63,$C$6:$C$55)))*(AE$6:AE$55)/(LEN($C$6:$C$55)-LEN(SUBSTITUTE($C$6:$C$55,CHAR(10),""))+1)),
IF(_xlpm.r=0,"",_xlpm.r)
))</f>
        <v/>
      </c>
      <c r="AF63" s="56" t="str" cm="1">
        <f t="array" ref="AF63">IF($C63="","",_xlfn.LET(
_xlpm.r,SUMPRODUCT((ISNUMBER(SEARCH($C63,$C$6:$C$55)))*(AF$6:AF$55)/(LEN($C$6:$C$55)-LEN(SUBSTITUTE($C$6:$C$55,CHAR(10),""))+1)),
IF(_xlpm.r=0,"",_xlpm.r)
))</f>
        <v/>
      </c>
      <c r="AG63" s="56" t="str" cm="1">
        <f t="array" ref="AG63">IF($C63="","",_xlfn.LET(
_xlpm.r,SUMPRODUCT((ISNUMBER(SEARCH($C63,$C$6:$C$55)))*(AG$6:AG$55)/(LEN($C$6:$C$55)-LEN(SUBSTITUTE($C$6:$C$55,CHAR(10),""))+1)),
IF(_xlpm.r=0,"",_xlpm.r)
))</f>
        <v/>
      </c>
      <c r="AH63" s="56" t="str" cm="1">
        <f t="array" ref="AH63">IF($C63="","",_xlfn.LET(
_xlpm.r,SUMPRODUCT((ISNUMBER(SEARCH($C63,$C$6:$C$55)))*(AH$6:AH$55)/(LEN($C$6:$C$55)-LEN(SUBSTITUTE($C$6:$C$55,CHAR(10),""))+1)),
IF(_xlpm.r=0,"",_xlpm.r)
))</f>
        <v/>
      </c>
      <c r="AI63" s="56" t="str" cm="1">
        <f t="array" ref="AI63">IF($C63="","",_xlfn.LET(
_xlpm.r,SUMPRODUCT((ISNUMBER(SEARCH($C63,$C$6:$C$55)))*(AI$6:AI$55)/(LEN($C$6:$C$55)-LEN(SUBSTITUTE($C$6:$C$55,CHAR(10),""))+1)),
IF(_xlpm.r=0,"",_xlpm.r)
))</f>
        <v/>
      </c>
      <c r="AJ63" s="56" t="str" cm="1">
        <f t="array" ref="AJ63">IF($C63="","",_xlfn.LET(
_xlpm.r,SUMPRODUCT((ISNUMBER(SEARCH($C63,$C$6:$C$55)))*(AJ$6:AJ$55)/(LEN($C$6:$C$55)-LEN(SUBSTITUTE($C$6:$C$55,CHAR(10),""))+1)),
IF(_xlpm.r=0,"",_xlpm.r)
))</f>
        <v/>
      </c>
      <c r="AK63" s="56" t="str" cm="1">
        <f t="array" ref="AK63">IF($C63="","",_xlfn.LET(
_xlpm.r,SUMPRODUCT((ISNUMBER(SEARCH($C63,$C$6:$C$55)))*(AK$6:AK$55)/(LEN($C$6:$C$55)-LEN(SUBSTITUTE($C$6:$C$55,CHAR(10),""))+1)),
IF(_xlpm.r=0,"",_xlpm.r)
))</f>
        <v/>
      </c>
      <c r="AL63" s="56" t="str" cm="1">
        <f t="array" ref="AL63">IF($C63="","",_xlfn.LET(
_xlpm.r,SUMPRODUCT((ISNUMBER(SEARCH($C63,$C$6:$C$55)))*(AL$6:AL$55)/(LEN($C$6:$C$55)-LEN(SUBSTITUTE($C$6:$C$55,CHAR(10),""))+1)),
IF(_xlpm.r=0,"",_xlpm.r)
))</f>
        <v/>
      </c>
      <c r="AM63" s="56" t="str" cm="1">
        <f t="array" ref="AM63">IF($C63="","",_xlfn.LET(
_xlpm.r,SUMPRODUCT((ISNUMBER(SEARCH($C63,$C$6:$C$55)))*(AM$6:AM$55)/(LEN($C$6:$C$55)-LEN(SUBSTITUTE($C$6:$C$55,CHAR(10),""))+1)),
IF(_xlpm.r=0,"",_xlpm.r)
))</f>
        <v/>
      </c>
      <c r="AN63" s="56" t="str" cm="1">
        <f t="array" ref="AN63">IF($C63="","",_xlfn.LET(
_xlpm.r,SUMPRODUCT((ISNUMBER(SEARCH($C63,$C$6:$C$55)))*(AN$6:AN$55)/(LEN($C$6:$C$55)-LEN(SUBSTITUTE($C$6:$C$55,CHAR(10),""))+1)),
IF(_xlpm.r=0,"",_xlpm.r)
))</f>
        <v/>
      </c>
      <c r="AO63" s="56" t="str" cm="1">
        <f t="array" ref="AO63">IF($C63="","",_xlfn.LET(
_xlpm.r,SUMPRODUCT((ISNUMBER(SEARCH($C63,$C$6:$C$55)))*(AO$6:AO$55)/(LEN($C$6:$C$55)-LEN(SUBSTITUTE($C$6:$C$55,CHAR(10),""))+1)),
IF(_xlpm.r=0,"",_xlpm.r)
))</f>
        <v/>
      </c>
      <c r="AP63" s="56" t="str" cm="1">
        <f t="array" ref="AP63">IF($C63="","",_xlfn.LET(
_xlpm.r,SUMPRODUCT((ISNUMBER(SEARCH($C63,$C$6:$C$55)))*(AP$6:AP$55)/(LEN($C$6:$C$55)-LEN(SUBSTITUTE($C$6:$C$55,CHAR(10),""))+1)),
IF(_xlpm.r=0,"",_xlpm.r)
))</f>
        <v/>
      </c>
      <c r="AQ63" s="56" t="str" cm="1">
        <f t="array" ref="AQ63">IF($C63="","",_xlfn.LET(
_xlpm.r,SUMPRODUCT((ISNUMBER(SEARCH($C63,$C$6:$C$55)))*(AQ$6:AQ$55)/(LEN($C$6:$C$55)-LEN(SUBSTITUTE($C$6:$C$55,CHAR(10),""))+1)),
IF(_xlpm.r=0,"",_xlpm.r)
))</f>
        <v/>
      </c>
      <c r="AR63" s="56" t="str" cm="1">
        <f t="array" ref="AR63">IF($C63="","",_xlfn.LET(
_xlpm.r,SUMPRODUCT((ISNUMBER(SEARCH($C63,$C$6:$C$55)))*(AR$6:AR$55)/(LEN($C$6:$C$55)-LEN(SUBSTITUTE($C$6:$C$55,CHAR(10),""))+1)),
IF(_xlpm.r=0,"",_xlpm.r)
))</f>
        <v/>
      </c>
      <c r="AS63" s="56" t="str" cm="1">
        <f t="array" ref="AS63">IF($C63="","",_xlfn.LET(
_xlpm.r,SUMPRODUCT((ISNUMBER(SEARCH($C63,$C$6:$C$55)))*(AS$6:AS$55)/(LEN($C$6:$C$55)-LEN(SUBSTITUTE($C$6:$C$55,CHAR(10),""))+1)),
IF(_xlpm.r=0,"",_xlpm.r)
))</f>
        <v/>
      </c>
      <c r="AT63" s="56" t="str" cm="1">
        <f t="array" ref="AT63">IF($C63="","",_xlfn.LET(
_xlpm.r,SUMPRODUCT((ISNUMBER(SEARCH($C63,$C$6:$C$55)))*(AT$6:AT$55)/(LEN($C$6:$C$55)-LEN(SUBSTITUTE($C$6:$C$55,CHAR(10),""))+1)),
IF(_xlpm.r=0,"",_xlpm.r)
))</f>
        <v/>
      </c>
      <c r="AU63" s="56" t="str" cm="1">
        <f t="array" ref="AU63">IF($C63="","",_xlfn.LET(
_xlpm.r,SUMPRODUCT((ISNUMBER(SEARCH($C63,$C$6:$C$55)))*(AU$6:AU$55)/(LEN($C$6:$C$55)-LEN(SUBSTITUTE($C$6:$C$55,CHAR(10),""))+1)),
IF(_xlpm.r=0,"",_xlpm.r)
))</f>
        <v/>
      </c>
      <c r="AV63" s="56" t="str" cm="1">
        <f t="array" ref="AV63">IF($C63="","",_xlfn.LET(
_xlpm.r,SUMPRODUCT((ISNUMBER(SEARCH($C63,$C$6:$C$55)))*(AV$6:AV$55)/(LEN($C$6:$C$55)-LEN(SUBSTITUTE($C$6:$C$55,CHAR(10),""))+1)),
IF(_xlpm.r=0,"",_xlpm.r)
))</f>
        <v/>
      </c>
      <c r="AW63" s="56" t="str" cm="1">
        <f t="array" ref="AW63">IF($C63="","",_xlfn.LET(
_xlpm.r,SUMPRODUCT((ISNUMBER(SEARCH($C63,$C$6:$C$55)))*(AW$6:AW$55)/(LEN($C$6:$C$55)-LEN(SUBSTITUTE($C$6:$C$55,CHAR(10),""))+1)),
IF(_xlpm.r=0,"",_xlpm.r)
))</f>
        <v/>
      </c>
      <c r="AX63" s="56" t="str" cm="1">
        <f t="array" ref="AX63">IF($C63="","",_xlfn.LET(
_xlpm.r,SUMPRODUCT((ISNUMBER(SEARCH($C63,$C$6:$C$55)))*(AX$6:AX$55)/(LEN($C$6:$C$55)-LEN(SUBSTITUTE($C$6:$C$55,CHAR(10),""))+1)),
IF(_xlpm.r=0,"",_xlpm.r)
))</f>
        <v/>
      </c>
      <c r="AY63" s="56" t="str" cm="1">
        <f t="array" ref="AY63">IF($C63="","",_xlfn.LET(
_xlpm.r,SUMPRODUCT((ISNUMBER(SEARCH($C63,$C$6:$C$55)))*(AY$6:AY$55)/(LEN($C$6:$C$55)-LEN(SUBSTITUTE($C$6:$C$55,CHAR(10),""))+1)),
IF(_xlpm.r=0,"",_xlpm.r)
))</f>
        <v/>
      </c>
      <c r="AZ63" s="56" t="str" cm="1">
        <f t="array" ref="AZ63">IF($C63="","",_xlfn.LET(
_xlpm.r,SUMPRODUCT((ISNUMBER(SEARCH($C63,$C$6:$C$55)))*(AZ$6:AZ$55)/(LEN($C$6:$C$55)-LEN(SUBSTITUTE($C$6:$C$55,CHAR(10),""))+1)),
IF(_xlpm.r=0,"",_xlpm.r)
))</f>
        <v/>
      </c>
      <c r="BA63" s="56" t="str" cm="1">
        <f t="array" ref="BA63">IF($C63="","",_xlfn.LET(
_xlpm.r,SUMPRODUCT((ISNUMBER(SEARCH($C63,$C$6:$C$55)))*(BA$6:BA$55)/(LEN($C$6:$C$55)-LEN(SUBSTITUTE($C$6:$C$55,CHAR(10),""))+1)),
IF(_xlpm.r=0,"",_xlpm.r)
))</f>
        <v/>
      </c>
      <c r="BB63" s="56" t="str" cm="1">
        <f t="array" ref="BB63">IF($C63="","",_xlfn.LET(
_xlpm.r,SUMPRODUCT((ISNUMBER(SEARCH($C63,$C$6:$C$55)))*(BB$6:BB$55)/(LEN($C$6:$C$55)-LEN(SUBSTITUTE($C$6:$C$55,CHAR(10),""))+1)),
IF(_xlpm.r=0,"",_xlpm.r)
))</f>
        <v/>
      </c>
      <c r="BC63" s="56" t="str" cm="1">
        <f t="array" ref="BC63">IF($C63="","",_xlfn.LET(
_xlpm.r,SUMPRODUCT((ISNUMBER(SEARCH($C63,$C$6:$C$55)))*(BC$6:BC$55)/(LEN($C$6:$C$55)-LEN(SUBSTITUTE($C$6:$C$55,CHAR(10),""))+1)),
IF(_xlpm.r=0,"",_xlpm.r)
))</f>
        <v/>
      </c>
      <c r="BD63" s="56" t="str" cm="1">
        <f t="array" ref="BD63">IF($C63="","",_xlfn.LET(
_xlpm.r,SUMPRODUCT((ISNUMBER(SEARCH($C63,$C$6:$C$55)))*(BD$6:BD$55)/(LEN($C$6:$C$55)-LEN(SUBSTITUTE($C$6:$C$55,CHAR(10),""))+1)),
IF(_xlpm.r=0,"",_xlpm.r)
))</f>
        <v/>
      </c>
      <c r="BE63" s="56" t="str" cm="1">
        <f t="array" ref="BE63">IF($C63="","",_xlfn.LET(
_xlpm.r,SUMPRODUCT((ISNUMBER(SEARCH($C63,$C$6:$C$55)))*(BE$6:BE$55)/(LEN($C$6:$C$55)-LEN(SUBSTITUTE($C$6:$C$55,CHAR(10),""))+1)),
IF(_xlpm.r=0,"",_xlpm.r)
))</f>
        <v/>
      </c>
      <c r="BF63" s="56" t="str" cm="1">
        <f t="array" ref="BF63">IF($C63="","",_xlfn.LET(
_xlpm.r,SUMPRODUCT((ISNUMBER(SEARCH($C63,$C$6:$C$55)))*(BF$6:BF$55)/(LEN($C$6:$C$55)-LEN(SUBSTITUTE($C$6:$C$55,CHAR(10),""))+1)),
IF(_xlpm.r=0,"",_xlpm.r)
))</f>
        <v/>
      </c>
      <c r="BG63" s="56" t="str" cm="1">
        <f t="array" ref="BG63">IF($C63="","",_xlfn.LET(
_xlpm.r,SUMPRODUCT((ISNUMBER(SEARCH($C63,$C$6:$C$55)))*(BG$6:BG$55)/(LEN($C$6:$C$55)-LEN(SUBSTITUTE($C$6:$C$55,CHAR(10),""))+1)),
IF(_xlpm.r=0,"",_xlpm.r)
))</f>
        <v/>
      </c>
      <c r="BH63" s="56" t="str" cm="1">
        <f t="array" ref="BH63">IF($C63="","",_xlfn.LET(
_xlpm.r,SUMPRODUCT((ISNUMBER(SEARCH($C63,$C$6:$C$55)))*(BH$6:BH$55)/(LEN($C$6:$C$55)-LEN(SUBSTITUTE($C$6:$C$55,CHAR(10),""))+1)),
IF(_xlpm.r=0,"",_xlpm.r)
))</f>
        <v/>
      </c>
      <c r="BI63" s="56" t="str" cm="1">
        <f t="array" ref="BI63">IF($C63="","",_xlfn.LET(
_xlpm.r,SUMPRODUCT((ISNUMBER(SEARCH($C63,$C$6:$C$55)))*(BI$6:BI$55)/(LEN($C$6:$C$55)-LEN(SUBSTITUTE($C$6:$C$55,CHAR(10),""))+1)),
IF(_xlpm.r=0,"",_xlpm.r)
))</f>
        <v/>
      </c>
      <c r="BJ63" s="56" t="str" cm="1">
        <f t="array" ref="BJ63">IF($C63="","",_xlfn.LET(
_xlpm.r,SUMPRODUCT((ISNUMBER(SEARCH($C63,$C$6:$C$55)))*(BJ$6:BJ$55)/(LEN($C$6:$C$55)-LEN(SUBSTITUTE($C$6:$C$55,CHAR(10),""))+1)),
IF(_xlpm.r=0,"",_xlpm.r)
))</f>
        <v/>
      </c>
      <c r="BK63" s="56" t="str" cm="1">
        <f t="array" ref="BK63">IF($C63="","",_xlfn.LET(
_xlpm.r,SUMPRODUCT((ISNUMBER(SEARCH($C63,$C$6:$C$55)))*(BK$6:BK$55)/(LEN($C$6:$C$55)-LEN(SUBSTITUTE($C$6:$C$55,CHAR(10),""))+1)),
IF(_xlpm.r=0,"",_xlpm.r)
))</f>
        <v/>
      </c>
      <c r="BL63" s="56" t="str" cm="1">
        <f t="array" ref="BL63">IF($C63="","",_xlfn.LET(
_xlpm.r,SUMPRODUCT((ISNUMBER(SEARCH($C63,$C$6:$C$55)))*(BL$6:BL$55)/(LEN($C$6:$C$55)-LEN(SUBSTITUTE($C$6:$C$55,CHAR(10),""))+1)),
IF(_xlpm.r=0,"",_xlpm.r)
))</f>
        <v/>
      </c>
      <c r="BM63" s="56" t="str" cm="1">
        <f t="array" ref="BM63">IF($C63="","",_xlfn.LET(
_xlpm.r,SUMPRODUCT((ISNUMBER(SEARCH($C63,$C$6:$C$55)))*(BM$6:BM$55)/(LEN($C$6:$C$55)-LEN(SUBSTITUTE($C$6:$C$55,CHAR(10),""))+1)),
IF(_xlpm.r=0,"",_xlpm.r)
))</f>
        <v/>
      </c>
      <c r="BN63" s="56" t="str" cm="1">
        <f t="array" ref="BN63">IF($C63="","",_xlfn.LET(
_xlpm.r,SUMPRODUCT((ISNUMBER(SEARCH($C63,$C$6:$C$55)))*(BN$6:BN$55)/(LEN($C$6:$C$55)-LEN(SUBSTITUTE($C$6:$C$55,CHAR(10),""))+1)),
IF(_xlpm.r=0,"",_xlpm.r)
))</f>
        <v/>
      </c>
      <c r="BO63" s="56" t="str" cm="1">
        <f t="array" ref="BO63">IF($C63="","",_xlfn.LET(
_xlpm.r,SUMPRODUCT((ISNUMBER(SEARCH($C63,$C$6:$C$55)))*(BO$6:BO$55)/(LEN($C$6:$C$55)-LEN(SUBSTITUTE($C$6:$C$55,CHAR(10),""))+1)),
IF(_xlpm.r=0,"",_xlpm.r)
))</f>
        <v/>
      </c>
      <c r="BP63" s="56" t="str" cm="1">
        <f t="array" ref="BP63">IF($C63="","",_xlfn.LET(
_xlpm.r,SUMPRODUCT((ISNUMBER(SEARCH($C63,$C$6:$C$55)))*(BP$6:BP$55)/(LEN($C$6:$C$55)-LEN(SUBSTITUTE($C$6:$C$55,CHAR(10),""))+1)),
IF(_xlpm.r=0,"",_xlpm.r)
))</f>
        <v/>
      </c>
      <c r="BQ63" s="56" t="str" cm="1">
        <f t="array" ref="BQ63">IF($C63="","",_xlfn.LET(
_xlpm.r,SUMPRODUCT((ISNUMBER(SEARCH($C63,$C$6:$C$55)))*(BQ$6:BQ$55)/(LEN($C$6:$C$55)-LEN(SUBSTITUTE($C$6:$C$55,CHAR(10),""))+1)),
IF(_xlpm.r=0,"",_xlpm.r)
))</f>
        <v/>
      </c>
      <c r="BR63" s="56" t="str" cm="1">
        <f t="array" ref="BR63">IF($C63="","",_xlfn.LET(
_xlpm.r,SUMPRODUCT((ISNUMBER(SEARCH($C63,$C$6:$C$55)))*(BR$6:BR$55)/(LEN($C$6:$C$55)-LEN(SUBSTITUTE($C$6:$C$55,CHAR(10),""))+1)),
IF(_xlpm.r=0,"",_xlpm.r)
))</f>
        <v/>
      </c>
      <c r="BS63" s="56" t="str" cm="1">
        <f t="array" ref="BS63">IF($C63="","",_xlfn.LET(
_xlpm.r,SUMPRODUCT((ISNUMBER(SEARCH($C63,$C$6:$C$55)))*(BS$6:BS$55)/(LEN($C$6:$C$55)-LEN(SUBSTITUTE($C$6:$C$55,CHAR(10),""))+1)),
IF(_xlpm.r=0,"",_xlpm.r)
))</f>
        <v/>
      </c>
      <c r="BT63" s="56" t="str" cm="1">
        <f t="array" ref="BT63">IF($C63="","",_xlfn.LET(
_xlpm.r,SUMPRODUCT((ISNUMBER(SEARCH($C63,$C$6:$C$55)))*(BT$6:BT$55)/(LEN($C$6:$C$55)-LEN(SUBSTITUTE($C$6:$C$55,CHAR(10),""))+1)),
IF(_xlpm.r=0,"",_xlpm.r)
))</f>
        <v/>
      </c>
      <c r="BU63" s="56" t="str" cm="1">
        <f t="array" ref="BU63">IF($C63="","",_xlfn.LET(
_xlpm.r,SUMPRODUCT((ISNUMBER(SEARCH($C63,$C$6:$C$55)))*(BU$6:BU$55)/(LEN($C$6:$C$55)-LEN(SUBSTITUTE($C$6:$C$55,CHAR(10),""))+1)),
IF(_xlpm.r=0,"",_xlpm.r)
))</f>
        <v/>
      </c>
      <c r="BV63" s="56" t="str" cm="1">
        <f t="array" ref="BV63">IF($C63="","",_xlfn.LET(
_xlpm.r,SUMPRODUCT((ISNUMBER(SEARCH($C63,$C$6:$C$55)))*(BV$6:BV$55)/(LEN($C$6:$C$55)-LEN(SUBSTITUTE($C$6:$C$55,CHAR(10),""))+1)),
IF(_xlpm.r=0,"",_xlpm.r)
))</f>
        <v/>
      </c>
      <c r="BW63" s="56" t="str" cm="1">
        <f t="array" ref="BW63">IF($C63="","",_xlfn.LET(
_xlpm.r,SUMPRODUCT((ISNUMBER(SEARCH($C63,$C$6:$C$55)))*(BW$6:BW$55)/(LEN($C$6:$C$55)-LEN(SUBSTITUTE($C$6:$C$55,CHAR(10),""))+1)),
IF(_xlpm.r=0,"",_xlpm.r)
))</f>
        <v/>
      </c>
      <c r="BX63" s="56" t="str" cm="1">
        <f t="array" ref="BX63">IF($C63="","",_xlfn.LET(
_xlpm.r,SUMPRODUCT((ISNUMBER(SEARCH($C63,$C$6:$C$55)))*(BX$6:BX$55)/(LEN($C$6:$C$55)-LEN(SUBSTITUTE($C$6:$C$55,CHAR(10),""))+1)),
IF(_xlpm.r=0,"",_xlpm.r)
))</f>
        <v/>
      </c>
      <c r="BY63" s="56" t="str" cm="1">
        <f t="array" ref="BY63">IF($C63="","",_xlfn.LET(
_xlpm.r,SUMPRODUCT((ISNUMBER(SEARCH($C63,$C$6:$C$55)))*(BY$6:BY$55)/(LEN($C$6:$C$55)-LEN(SUBSTITUTE($C$6:$C$55,CHAR(10),""))+1)),
IF(_xlpm.r=0,"",_xlpm.r)
))</f>
        <v/>
      </c>
      <c r="BZ63" s="56" t="str" cm="1">
        <f t="array" ref="BZ63">IF($C63="","",_xlfn.LET(
_xlpm.r,SUMPRODUCT((ISNUMBER(SEARCH($C63,$C$6:$C$55)))*(BZ$6:BZ$55)/(LEN($C$6:$C$55)-LEN(SUBSTITUTE($C$6:$C$55,CHAR(10),""))+1)),
IF(_xlpm.r=0,"",_xlpm.r)
))</f>
        <v/>
      </c>
      <c r="CA63" s="56" t="str" cm="1">
        <f t="array" ref="CA63">IF($C63="","",_xlfn.LET(
_xlpm.r,SUMPRODUCT((ISNUMBER(SEARCH($C63,$C$6:$C$55)))*(CA$6:CA$55)/(LEN($C$6:$C$55)-LEN(SUBSTITUTE($C$6:$C$55,CHAR(10),""))+1)),
IF(_xlpm.r=0,"",_xlpm.r)
))</f>
        <v/>
      </c>
      <c r="CB63" s="56" t="str" cm="1">
        <f t="array" ref="CB63">IF($C63="","",_xlfn.LET(
_xlpm.r,SUMPRODUCT((ISNUMBER(SEARCH($C63,$C$6:$C$55)))*(CB$6:CB$55)/(LEN($C$6:$C$55)-LEN(SUBSTITUTE($C$6:$C$55,CHAR(10),""))+1)),
IF(_xlpm.r=0,"",_xlpm.r)
))</f>
        <v/>
      </c>
      <c r="CC63" s="56" t="str" cm="1">
        <f t="array" ref="CC63">IF($C63="","",_xlfn.LET(
_xlpm.r,SUMPRODUCT((ISNUMBER(SEARCH($C63,$C$6:$C$55)))*(CC$6:CC$55)/(LEN($C$6:$C$55)-LEN(SUBSTITUTE($C$6:$C$55,CHAR(10),""))+1)),
IF(_xlpm.r=0,"",_xlpm.r)
))</f>
        <v/>
      </c>
      <c r="CD63" s="56" t="str" cm="1">
        <f t="array" ref="CD63">IF($C63="","",_xlfn.LET(
_xlpm.r,SUMPRODUCT((ISNUMBER(SEARCH($C63,$C$6:$C$55)))*(CD$6:CD$55)/(LEN($C$6:$C$55)-LEN(SUBSTITUTE($C$6:$C$55,CHAR(10),""))+1)),
IF(_xlpm.r=0,"",_xlpm.r)
))</f>
        <v/>
      </c>
      <c r="CE63" s="56" t="str" cm="1">
        <f t="array" ref="CE63">IF($C63="","",_xlfn.LET(
_xlpm.r,SUMPRODUCT((ISNUMBER(SEARCH($C63,$C$6:$C$55)))*(CE$6:CE$55)/(LEN($C$6:$C$55)-LEN(SUBSTITUTE($C$6:$C$55,CHAR(10),""))+1)),
IF(_xlpm.r=0,"",_xlpm.r)
))</f>
        <v/>
      </c>
      <c r="CF63" s="56" t="str" cm="1">
        <f t="array" ref="CF63">IF($C63="","",_xlfn.LET(
_xlpm.r,SUMPRODUCT((ISNUMBER(SEARCH($C63,$C$6:$C$55)))*(CF$6:CF$55)/(LEN($C$6:$C$55)-LEN(SUBSTITUTE($C$6:$C$55,CHAR(10),""))+1)),
IF(_xlpm.r=0,"",_xlpm.r)
))</f>
        <v/>
      </c>
      <c r="CG63" s="56" t="str" cm="1">
        <f t="array" ref="CG63">IF($C63="","",_xlfn.LET(
_xlpm.r,SUMPRODUCT((ISNUMBER(SEARCH($C63,$C$6:$C$55)))*(CG$6:CG$55)/(LEN($C$6:$C$55)-LEN(SUBSTITUTE($C$6:$C$55,CHAR(10),""))+1)),
IF(_xlpm.r=0,"",_xlpm.r)
))</f>
        <v/>
      </c>
      <c r="CH63" s="56" t="str" cm="1">
        <f t="array" ref="CH63">IF($C63="","",_xlfn.LET(
_xlpm.r,SUMPRODUCT((ISNUMBER(SEARCH($C63,$C$6:$C$55)))*(CH$6:CH$55)/(LEN($C$6:$C$55)-LEN(SUBSTITUTE($C$6:$C$55,CHAR(10),""))+1)),
IF(_xlpm.r=0,"",_xlpm.r)
))</f>
        <v/>
      </c>
      <c r="CI63" s="56" t="str" cm="1">
        <f t="array" ref="CI63">IF($C63="","",_xlfn.LET(
_xlpm.r,SUMPRODUCT((ISNUMBER(SEARCH($C63,$C$6:$C$55)))*(CI$6:CI$55)/(LEN($C$6:$C$55)-LEN(SUBSTITUTE($C$6:$C$55,CHAR(10),""))+1)),
IF(_xlpm.r=0,"",_xlpm.r)
))</f>
        <v/>
      </c>
      <c r="CJ63" s="56" t="str" cm="1">
        <f t="array" ref="CJ63">IF($C63="","",_xlfn.LET(
_xlpm.r,SUMPRODUCT((ISNUMBER(SEARCH($C63,$C$6:$C$55)))*(CJ$6:CJ$55)/(LEN($C$6:$C$55)-LEN(SUBSTITUTE($C$6:$C$55,CHAR(10),""))+1)),
IF(_xlpm.r=0,"",_xlpm.r)
))</f>
        <v/>
      </c>
      <c r="CK63" s="56" t="str" cm="1">
        <f t="array" ref="CK63">IF($C63="","",_xlfn.LET(
_xlpm.r,SUMPRODUCT((ISNUMBER(SEARCH($C63,$C$6:$C$55)))*(CK$6:CK$55)/(LEN($C$6:$C$55)-LEN(SUBSTITUTE($C$6:$C$55,CHAR(10),""))+1)),
IF(_xlpm.r=0,"",_xlpm.r)
))</f>
        <v/>
      </c>
      <c r="CL63" s="56" t="str" cm="1">
        <f t="array" ref="CL63">IF($C63="","",_xlfn.LET(
_xlpm.r,SUMPRODUCT((ISNUMBER(SEARCH($C63,$C$6:$C$55)))*(CL$6:CL$55)/(LEN($C$6:$C$55)-LEN(SUBSTITUTE($C$6:$C$55,CHAR(10),""))+1)),
IF(_xlpm.r=0,"",_xlpm.r)
))</f>
        <v/>
      </c>
      <c r="CM63" s="56" t="str" cm="1">
        <f t="array" ref="CM63">IF($C63="","",_xlfn.LET(
_xlpm.r,SUMPRODUCT((ISNUMBER(SEARCH($C63,$C$6:$C$55)))*(CM$6:CM$55)/(LEN($C$6:$C$55)-LEN(SUBSTITUTE($C$6:$C$55,CHAR(10),""))+1)),
IF(_xlpm.r=0,"",_xlpm.r)
))</f>
        <v/>
      </c>
      <c r="CN63" s="56" t="str" cm="1">
        <f t="array" ref="CN63">IF($C63="","",_xlfn.LET(
_xlpm.r,SUMPRODUCT((ISNUMBER(SEARCH($C63,$C$6:$C$55)))*(CN$6:CN$55)/(LEN($C$6:$C$55)-LEN(SUBSTITUTE($C$6:$C$55,CHAR(10),""))+1)),
IF(_xlpm.r=0,"",_xlpm.r)
))</f>
        <v/>
      </c>
      <c r="CO63" s="56" t="str" cm="1">
        <f t="array" ref="CO63">IF($C63="","",_xlfn.LET(
_xlpm.r,SUMPRODUCT((ISNUMBER(SEARCH($C63,$C$6:$C$55)))*(CO$6:CO$55)/(LEN($C$6:$C$55)-LEN(SUBSTITUTE($C$6:$C$55,CHAR(10),""))+1)),
IF(_xlpm.r=0,"",_xlpm.r)
))</f>
        <v/>
      </c>
      <c r="CP63" s="56" t="str" cm="1">
        <f t="array" ref="CP63">IF($C63="","",_xlfn.LET(
_xlpm.r,SUMPRODUCT((ISNUMBER(SEARCH($C63,$C$6:$C$55)))*(CP$6:CP$55)/(LEN($C$6:$C$55)-LEN(SUBSTITUTE($C$6:$C$55,CHAR(10),""))+1)),
IF(_xlpm.r=0,"",_xlpm.r)
))</f>
        <v/>
      </c>
      <c r="CQ63" s="56" t="str" cm="1">
        <f t="array" ref="CQ63">IF($C63="","",_xlfn.LET(
_xlpm.r,SUMPRODUCT((ISNUMBER(SEARCH($C63,$C$6:$C$55)))*(CQ$6:CQ$55)/(LEN($C$6:$C$55)-LEN(SUBSTITUTE($C$6:$C$55,CHAR(10),""))+1)),
IF(_xlpm.r=0,"",_xlpm.r)
))</f>
        <v/>
      </c>
      <c r="CR63" s="56" t="str" cm="1">
        <f t="array" ref="CR63">IF($C63="","",_xlfn.LET(
_xlpm.r,SUMPRODUCT((ISNUMBER(SEARCH($C63,$C$6:$C$55)))*(CR$6:CR$55)/(LEN($C$6:$C$55)-LEN(SUBSTITUTE($C$6:$C$55,CHAR(10),""))+1)),
IF(_xlpm.r=0,"",_xlpm.r)
))</f>
        <v/>
      </c>
      <c r="CS63" s="56" t="str" cm="1">
        <f t="array" ref="CS63">IF($C63="","",_xlfn.LET(
_xlpm.r,SUMPRODUCT((ISNUMBER(SEARCH($C63,$C$6:$C$55)))*(CS$6:CS$55)/(LEN($C$6:$C$55)-LEN(SUBSTITUTE($C$6:$C$55,CHAR(10),""))+1)),
IF(_xlpm.r=0,"",_xlpm.r)
))</f>
        <v/>
      </c>
      <c r="CT63" s="56" t="str" cm="1">
        <f t="array" ref="CT63">IF($C63="","",_xlfn.LET(
_xlpm.r,SUMPRODUCT((ISNUMBER(SEARCH($C63,$C$6:$C$55)))*(CT$6:CT$55)/(LEN($C$6:$C$55)-LEN(SUBSTITUTE($C$6:$C$55,CHAR(10),""))+1)),
IF(_xlpm.r=0,"",_xlpm.r)
))</f>
        <v/>
      </c>
      <c r="CU63" s="56" t="str" cm="1">
        <f t="array" ref="CU63">IF($C63="","",_xlfn.LET(
_xlpm.r,SUMPRODUCT((ISNUMBER(SEARCH($C63,$C$6:$C$55)))*(CU$6:CU$55)/(LEN($C$6:$C$55)-LEN(SUBSTITUTE($C$6:$C$55,CHAR(10),""))+1)),
IF(_xlpm.r=0,"",_xlpm.r)
))</f>
        <v/>
      </c>
      <c r="CV63" s="56" t="str" cm="1">
        <f t="array" ref="CV63">IF($C63="","",_xlfn.LET(
_xlpm.r,SUMPRODUCT((ISNUMBER(SEARCH($C63,$C$6:$C$55)))*(CV$6:CV$55)/(LEN($C$6:$C$55)-LEN(SUBSTITUTE($C$6:$C$55,CHAR(10),""))+1)),
IF(_xlpm.r=0,"",_xlpm.r)
))</f>
        <v/>
      </c>
      <c r="CW63" s="56" t="str" cm="1">
        <f t="array" ref="CW63">IF($C63="","",_xlfn.LET(
_xlpm.r,SUMPRODUCT((ISNUMBER(SEARCH($C63,$C$6:$C$55)))*(CW$6:CW$55)/(LEN($C$6:$C$55)-LEN(SUBSTITUTE($C$6:$C$55,CHAR(10),""))+1)),
IF(_xlpm.r=0,"",_xlpm.r)
))</f>
        <v/>
      </c>
      <c r="CX63" s="56" t="str" cm="1">
        <f t="array" ref="CX63">IF($C63="","",_xlfn.LET(
_xlpm.r,SUMPRODUCT((ISNUMBER(SEARCH($C63,$C$6:$C$55)))*(CX$6:CX$55)/(LEN($C$6:$C$55)-LEN(SUBSTITUTE($C$6:$C$55,CHAR(10),""))+1)),
IF(_xlpm.r=0,"",_xlpm.r)
))</f>
        <v/>
      </c>
      <c r="CY63" s="56" t="str" cm="1">
        <f t="array" ref="CY63">IF($C63="","",_xlfn.LET(
_xlpm.r,SUMPRODUCT((ISNUMBER(SEARCH($C63,$C$6:$C$55)))*(CY$6:CY$55)/(LEN($C$6:$C$55)-LEN(SUBSTITUTE($C$6:$C$55,CHAR(10),""))+1)),
IF(_xlpm.r=0,"",_xlpm.r)
))</f>
        <v/>
      </c>
      <c r="CZ63" s="56" t="str" cm="1">
        <f t="array" ref="CZ63">IF($C63="","",_xlfn.LET(
_xlpm.r,SUMPRODUCT((ISNUMBER(SEARCH($C63,$C$6:$C$55)))*(CZ$6:CZ$55)/(LEN($C$6:$C$55)-LEN(SUBSTITUTE($C$6:$C$55,CHAR(10),""))+1)),
IF(_xlpm.r=0,"",_xlpm.r)
))</f>
        <v/>
      </c>
      <c r="DA63" s="56" t="str" cm="1">
        <f t="array" ref="DA63">IF($C63="","",_xlfn.LET(
_xlpm.r,SUMPRODUCT((ISNUMBER(SEARCH($C63,$C$6:$C$55)))*(DA$6:DA$55)/(LEN($C$6:$C$55)-LEN(SUBSTITUTE($C$6:$C$55,CHAR(10),""))+1)),
IF(_xlpm.r=0,"",_xlpm.r)
))</f>
        <v/>
      </c>
      <c r="DB63" s="56" t="str" cm="1">
        <f t="array" ref="DB63">IF($C63="","",_xlfn.LET(
_xlpm.r,SUMPRODUCT((ISNUMBER(SEARCH($C63,$C$6:$C$55)))*(DB$6:DB$55)/(LEN($C$6:$C$55)-LEN(SUBSTITUTE($C$6:$C$55,CHAR(10),""))+1)),
IF(_xlpm.r=0,"",_xlpm.r)
))</f>
        <v/>
      </c>
      <c r="DC63" s="56" t="str" cm="1">
        <f t="array" ref="DC63">IF($C63="","",_xlfn.LET(
_xlpm.r,SUMPRODUCT((ISNUMBER(SEARCH($C63,$C$6:$C$55)))*(DC$6:DC$55)/(LEN($C$6:$C$55)-LEN(SUBSTITUTE($C$6:$C$55,CHAR(10),""))+1)),
IF(_xlpm.r=0,"",_xlpm.r)
))</f>
        <v/>
      </c>
      <c r="DD63" s="56" t="str" cm="1">
        <f t="array" ref="DD63">IF($C63="","",_xlfn.LET(
_xlpm.r,SUMPRODUCT((ISNUMBER(SEARCH($C63,$C$6:$C$55)))*(DD$6:DD$55)/(LEN($C$6:$C$55)-LEN(SUBSTITUTE($C$6:$C$55,CHAR(10),""))+1)),
IF(_xlpm.r=0,"",_xlpm.r)
))</f>
        <v/>
      </c>
    </row>
    <row r="64" spans="1:112" x14ac:dyDescent="0.3">
      <c r="C64" s="63"/>
      <c r="D64" s="64"/>
      <c r="E64" s="61" t="str" cm="1">
        <f t="array" ref="E64">IF($C64="","",_xlfn.LET(
_xlpm.r,SUMPRODUCT((ISNUMBER(SEARCH($C64,$C$6:$C$55)))*(E$6:E$55)/(LEN($C$6:$C$55)-LEN(SUBSTITUTE($C$6:$C$55,CHAR(10),""))+1)),
IF(_xlpm.r=0,"",_xlpm.r)
))</f>
        <v/>
      </c>
      <c r="F64" s="61" t="str" cm="1">
        <f t="array" ref="F64">IF($C64="","",_xlfn.LET(
_xlpm.r,SUMPRODUCT((ISNUMBER(SEARCH($C64,$C$6:$C$55)))*(F$6:F$55)/(LEN($C$6:$C$55)-LEN(SUBSTITUTE($C$6:$C$55,CHAR(10),""))+1)),
IF(_xlpm.r=0,"",_xlpm.r)
))</f>
        <v/>
      </c>
      <c r="G64" s="61" t="str" cm="1">
        <f t="array" ref="G64">IF($C64="","",_xlfn.LET(
_xlpm.r,SUMPRODUCT((ISNUMBER(SEARCH($C64,$C$6:$C$55)))*(G$6:G$55)/(LEN($C$6:$C$55)-LEN(SUBSTITUTE($C$6:$C$55,CHAR(10),""))+1)),
IF(_xlpm.r=0,"",_xlpm.r)
))</f>
        <v/>
      </c>
      <c r="H64" s="61" t="str" cm="1">
        <f t="array" ref="H64">IF($C64="","",_xlfn.LET(
_xlpm.r,SUMPRODUCT((ISNUMBER(SEARCH($C64,$C$6:$C$55)))*(H$6:H$55)/(LEN($C$6:$C$55)-LEN(SUBSTITUTE($C$6:$C$55,CHAR(10),""))+1)),
IF(_xlpm.r=0,"",_xlpm.r)
))</f>
        <v/>
      </c>
      <c r="I64" s="61" t="str" cm="1">
        <f t="array" ref="I64">IF($C64="","",_xlfn.LET(
_xlpm.r,SUMPRODUCT((ISNUMBER(SEARCH($C64,$C$6:$C$55)))*(I$6:I$55)/(LEN($C$6:$C$55)-LEN(SUBSTITUTE($C$6:$C$55,CHAR(10),""))+1)),
IF(_xlpm.r=0,"",_xlpm.r)
))</f>
        <v/>
      </c>
      <c r="J64" s="61" t="str" cm="1">
        <f t="array" ref="J64">IF($C64="","",_xlfn.LET(
_xlpm.r,SUMPRODUCT((ISNUMBER(SEARCH($C64,$C$6:$C$55)))*(J$6:J$55)/(LEN($C$6:$C$55)-LEN(SUBSTITUTE($C$6:$C$55,CHAR(10),""))+1)),
IF(_xlpm.r=0,"",_xlpm.r)
))</f>
        <v/>
      </c>
      <c r="K64" s="61" t="str" cm="1">
        <f t="array" ref="K64">IF($C64="","",_xlfn.LET(
_xlpm.r,SUMPRODUCT((ISNUMBER(SEARCH($C64,$C$6:$C$55)))*(K$6:K$55)/(LEN($C$6:$C$55)-LEN(SUBSTITUTE($C$6:$C$55,CHAR(10),""))+1)),
IF(_xlpm.r=0,"",_xlpm.r)
))</f>
        <v/>
      </c>
      <c r="L64" s="61" t="str" cm="1">
        <f t="array" ref="L64">IF($C64="","",_xlfn.LET(
_xlpm.r,SUMPRODUCT((ISNUMBER(SEARCH($C64,$C$6:$C$55)))*(L$6:L$55)/(LEN($C$6:$C$55)-LEN(SUBSTITUTE($C$6:$C$55,CHAR(10),""))+1)),
IF(_xlpm.r=0,"",_xlpm.r)
))</f>
        <v/>
      </c>
      <c r="M64" s="61" t="str" cm="1">
        <f t="array" ref="M64">IF($C64="","",_xlfn.LET(
_xlpm.r,SUMPRODUCT((ISNUMBER(SEARCH($C64,$C$6:$C$55)))*(M$6:M$55)/(LEN($C$6:$C$55)-LEN(SUBSTITUTE($C$6:$C$55,CHAR(10),""))+1)),
IF(_xlpm.r=0,"",_xlpm.r)
))</f>
        <v/>
      </c>
      <c r="N64" s="61" t="str" cm="1">
        <f t="array" ref="N64">IF($C64="","",_xlfn.LET(
_xlpm.r,SUMPRODUCT((ISNUMBER(SEARCH($C64,$C$6:$C$55)))*(N$6:N$55)/(LEN($C$6:$C$55)-LEN(SUBSTITUTE($C$6:$C$55,CHAR(10),""))+1)),
IF(_xlpm.r=0,"",_xlpm.r)
))</f>
        <v/>
      </c>
      <c r="O64" s="61" t="str" cm="1">
        <f t="array" ref="O64">IF($C64="","",_xlfn.LET(
_xlpm.r,SUMPRODUCT((ISNUMBER(SEARCH($C64,$C$6:$C$55)))*(O$6:O$55)/(LEN($C$6:$C$55)-LEN(SUBSTITUTE($C$6:$C$55,CHAR(10),""))+1)),
IF(_xlpm.r=0,"",_xlpm.r)
))</f>
        <v/>
      </c>
      <c r="P64" s="61" t="str" cm="1">
        <f t="array" ref="P64">IF($C64="","",_xlfn.LET(
_xlpm.r,SUMPRODUCT((ISNUMBER(SEARCH($C64,$C$6:$C$55)))*(P$6:P$55)/(LEN($C$6:$C$55)-LEN(SUBSTITUTE($C$6:$C$55,CHAR(10),""))+1)),
IF(_xlpm.r=0,"",_xlpm.r)
))</f>
        <v/>
      </c>
      <c r="Q64" s="61" t="str" cm="1">
        <f t="array" ref="Q64">IF($C64="","",_xlfn.LET(
_xlpm.r,SUMPRODUCT((ISNUMBER(SEARCH($C64,$C$6:$C$55)))*(Q$6:Q$55)/(LEN($C$6:$C$55)-LEN(SUBSTITUTE($C$6:$C$55,CHAR(10),""))+1)),
IF(_xlpm.r=0,"",_xlpm.r)
))</f>
        <v/>
      </c>
      <c r="R64" s="61" t="str" cm="1">
        <f t="array" ref="R64">IF($C64="","",_xlfn.LET(
_xlpm.r,SUMPRODUCT((ISNUMBER(SEARCH($C64,$C$6:$C$55)))*(R$6:R$55)/(LEN($C$6:$C$55)-LEN(SUBSTITUTE($C$6:$C$55,CHAR(10),""))+1)),
IF(_xlpm.r=0,"",_xlpm.r)
))</f>
        <v/>
      </c>
      <c r="S64" s="61" t="str" cm="1">
        <f t="array" ref="S64">IF($C64="","",_xlfn.LET(
_xlpm.r,SUMPRODUCT((ISNUMBER(SEARCH($C64,$C$6:$C$55)))*(S$6:S$55)/(LEN($C$6:$C$55)-LEN(SUBSTITUTE($C$6:$C$55,CHAR(10),""))+1)),
IF(_xlpm.r=0,"",_xlpm.r)
))</f>
        <v/>
      </c>
      <c r="T64" s="61" t="str" cm="1">
        <f t="array" ref="T64">IF($C64="","",_xlfn.LET(
_xlpm.r,SUMPRODUCT((ISNUMBER(SEARCH($C64,$C$6:$C$55)))*(T$6:T$55)/(LEN($C$6:$C$55)-LEN(SUBSTITUTE($C$6:$C$55,CHAR(10),""))+1)),
IF(_xlpm.r=0,"",_xlpm.r)
))</f>
        <v/>
      </c>
      <c r="U64" s="61" t="str" cm="1">
        <f t="array" ref="U64">IF($C64="","",_xlfn.LET(
_xlpm.r,SUMPRODUCT((ISNUMBER(SEARCH($C64,$C$6:$C$55)))*(U$6:U$55)/(LEN($C$6:$C$55)-LEN(SUBSTITUTE($C$6:$C$55,CHAR(10),""))+1)),
IF(_xlpm.r=0,"",_xlpm.r)
))</f>
        <v/>
      </c>
      <c r="V64" s="61" t="str" cm="1">
        <f t="array" ref="V64">IF($C64="","",_xlfn.LET(
_xlpm.r,SUMPRODUCT((ISNUMBER(SEARCH($C64,$C$6:$C$55)))*(V$6:V$55)/(LEN($C$6:$C$55)-LEN(SUBSTITUTE($C$6:$C$55,CHAR(10),""))+1)),
IF(_xlpm.r=0,"",_xlpm.r)
))</f>
        <v/>
      </c>
      <c r="W64" s="61" t="str" cm="1">
        <f t="array" ref="W64">IF($C64="","",_xlfn.LET(
_xlpm.r,SUMPRODUCT((ISNUMBER(SEARCH($C64,$C$6:$C$55)))*(W$6:W$55)/(LEN($C$6:$C$55)-LEN(SUBSTITUTE($C$6:$C$55,CHAR(10),""))+1)),
IF(_xlpm.r=0,"",_xlpm.r)
))</f>
        <v/>
      </c>
      <c r="X64" s="61" t="str" cm="1">
        <f t="array" ref="X64">IF($C64="","",_xlfn.LET(
_xlpm.r,SUMPRODUCT((ISNUMBER(SEARCH($C64,$C$6:$C$55)))*(X$6:X$55)/(LEN($C$6:$C$55)-LEN(SUBSTITUTE($C$6:$C$55,CHAR(10),""))+1)),
IF(_xlpm.r=0,"",_xlpm.r)
))</f>
        <v/>
      </c>
      <c r="Y64" s="61" t="str" cm="1">
        <f t="array" ref="Y64">IF($C64="","",_xlfn.LET(
_xlpm.r,SUMPRODUCT((ISNUMBER(SEARCH($C64,$C$6:$C$55)))*(Y$6:Y$55)/(LEN($C$6:$C$55)-LEN(SUBSTITUTE($C$6:$C$55,CHAR(10),""))+1)),
IF(_xlpm.r=0,"",_xlpm.r)
))</f>
        <v/>
      </c>
      <c r="Z64" s="61" t="str" cm="1">
        <f t="array" ref="Z64">IF($C64="","",_xlfn.LET(
_xlpm.r,SUMPRODUCT((ISNUMBER(SEARCH($C64,$C$6:$C$55)))*(Z$6:Z$55)/(LEN($C$6:$C$55)-LEN(SUBSTITUTE($C$6:$C$55,CHAR(10),""))+1)),
IF(_xlpm.r=0,"",_xlpm.r)
))</f>
        <v/>
      </c>
      <c r="AA64" s="61" t="str" cm="1">
        <f t="array" ref="AA64">IF($C64="","",_xlfn.LET(
_xlpm.r,SUMPRODUCT((ISNUMBER(SEARCH($C64,$C$6:$C$55)))*(AA$6:AA$55)/(LEN($C$6:$C$55)-LEN(SUBSTITUTE($C$6:$C$55,CHAR(10),""))+1)),
IF(_xlpm.r=0,"",_xlpm.r)
))</f>
        <v/>
      </c>
      <c r="AB64" s="61" t="str" cm="1">
        <f t="array" ref="AB64">IF($C64="","",_xlfn.LET(
_xlpm.r,SUMPRODUCT((ISNUMBER(SEARCH($C64,$C$6:$C$55)))*(AB$6:AB$55)/(LEN($C$6:$C$55)-LEN(SUBSTITUTE($C$6:$C$55,CHAR(10),""))+1)),
IF(_xlpm.r=0,"",_xlpm.r)
))</f>
        <v/>
      </c>
      <c r="AC64" s="61" t="str" cm="1">
        <f t="array" ref="AC64">IF($C64="","",_xlfn.LET(
_xlpm.r,SUMPRODUCT((ISNUMBER(SEARCH($C64,$C$6:$C$55)))*(AC$6:AC$55)/(LEN($C$6:$C$55)-LEN(SUBSTITUTE($C$6:$C$55,CHAR(10),""))+1)),
IF(_xlpm.r=0,"",_xlpm.r)
))</f>
        <v/>
      </c>
      <c r="AD64" s="61" t="str" cm="1">
        <f t="array" ref="AD64">IF($C64="","",_xlfn.LET(
_xlpm.r,SUMPRODUCT((ISNUMBER(SEARCH($C64,$C$6:$C$55)))*(AD$6:AD$55)/(LEN($C$6:$C$55)-LEN(SUBSTITUTE($C$6:$C$55,CHAR(10),""))+1)),
IF(_xlpm.r=0,"",_xlpm.r)
))</f>
        <v/>
      </c>
      <c r="AE64" s="61" t="str" cm="1">
        <f t="array" ref="AE64">IF($C64="","",_xlfn.LET(
_xlpm.r,SUMPRODUCT((ISNUMBER(SEARCH($C64,$C$6:$C$55)))*(AE$6:AE$55)/(LEN($C$6:$C$55)-LEN(SUBSTITUTE($C$6:$C$55,CHAR(10),""))+1)),
IF(_xlpm.r=0,"",_xlpm.r)
))</f>
        <v/>
      </c>
      <c r="AF64" s="61" t="str" cm="1">
        <f t="array" ref="AF64">IF($C64="","",_xlfn.LET(
_xlpm.r,SUMPRODUCT((ISNUMBER(SEARCH($C64,$C$6:$C$55)))*(AF$6:AF$55)/(LEN($C$6:$C$55)-LEN(SUBSTITUTE($C$6:$C$55,CHAR(10),""))+1)),
IF(_xlpm.r=0,"",_xlpm.r)
))</f>
        <v/>
      </c>
      <c r="AG64" s="61" t="str" cm="1">
        <f t="array" ref="AG64">IF($C64="","",_xlfn.LET(
_xlpm.r,SUMPRODUCT((ISNUMBER(SEARCH($C64,$C$6:$C$55)))*(AG$6:AG$55)/(LEN($C$6:$C$55)-LEN(SUBSTITUTE($C$6:$C$55,CHAR(10),""))+1)),
IF(_xlpm.r=0,"",_xlpm.r)
))</f>
        <v/>
      </c>
      <c r="AH64" s="61" t="str" cm="1">
        <f t="array" ref="AH64">IF($C64="","",_xlfn.LET(
_xlpm.r,SUMPRODUCT((ISNUMBER(SEARCH($C64,$C$6:$C$55)))*(AH$6:AH$55)/(LEN($C$6:$C$55)-LEN(SUBSTITUTE($C$6:$C$55,CHAR(10),""))+1)),
IF(_xlpm.r=0,"",_xlpm.r)
))</f>
        <v/>
      </c>
      <c r="AI64" s="61" t="str" cm="1">
        <f t="array" ref="AI64">IF($C64="","",_xlfn.LET(
_xlpm.r,SUMPRODUCT((ISNUMBER(SEARCH($C64,$C$6:$C$55)))*(AI$6:AI$55)/(LEN($C$6:$C$55)-LEN(SUBSTITUTE($C$6:$C$55,CHAR(10),""))+1)),
IF(_xlpm.r=0,"",_xlpm.r)
))</f>
        <v/>
      </c>
      <c r="AJ64" s="61" t="str" cm="1">
        <f t="array" ref="AJ64">IF($C64="","",_xlfn.LET(
_xlpm.r,SUMPRODUCT((ISNUMBER(SEARCH($C64,$C$6:$C$55)))*(AJ$6:AJ$55)/(LEN($C$6:$C$55)-LEN(SUBSTITUTE($C$6:$C$55,CHAR(10),""))+1)),
IF(_xlpm.r=0,"",_xlpm.r)
))</f>
        <v/>
      </c>
      <c r="AK64" s="61" t="str" cm="1">
        <f t="array" ref="AK64">IF($C64="","",_xlfn.LET(
_xlpm.r,SUMPRODUCT((ISNUMBER(SEARCH($C64,$C$6:$C$55)))*(AK$6:AK$55)/(LEN($C$6:$C$55)-LEN(SUBSTITUTE($C$6:$C$55,CHAR(10),""))+1)),
IF(_xlpm.r=0,"",_xlpm.r)
))</f>
        <v/>
      </c>
      <c r="AL64" s="61" t="str" cm="1">
        <f t="array" ref="AL64">IF($C64="","",_xlfn.LET(
_xlpm.r,SUMPRODUCT((ISNUMBER(SEARCH($C64,$C$6:$C$55)))*(AL$6:AL$55)/(LEN($C$6:$C$55)-LEN(SUBSTITUTE($C$6:$C$55,CHAR(10),""))+1)),
IF(_xlpm.r=0,"",_xlpm.r)
))</f>
        <v/>
      </c>
      <c r="AM64" s="61" t="str" cm="1">
        <f t="array" ref="AM64">IF($C64="","",_xlfn.LET(
_xlpm.r,SUMPRODUCT((ISNUMBER(SEARCH($C64,$C$6:$C$55)))*(AM$6:AM$55)/(LEN($C$6:$C$55)-LEN(SUBSTITUTE($C$6:$C$55,CHAR(10),""))+1)),
IF(_xlpm.r=0,"",_xlpm.r)
))</f>
        <v/>
      </c>
      <c r="AN64" s="61" t="str" cm="1">
        <f t="array" ref="AN64">IF($C64="","",_xlfn.LET(
_xlpm.r,SUMPRODUCT((ISNUMBER(SEARCH($C64,$C$6:$C$55)))*(AN$6:AN$55)/(LEN($C$6:$C$55)-LEN(SUBSTITUTE($C$6:$C$55,CHAR(10),""))+1)),
IF(_xlpm.r=0,"",_xlpm.r)
))</f>
        <v/>
      </c>
      <c r="AO64" s="61" t="str" cm="1">
        <f t="array" ref="AO64">IF($C64="","",_xlfn.LET(
_xlpm.r,SUMPRODUCT((ISNUMBER(SEARCH($C64,$C$6:$C$55)))*(AO$6:AO$55)/(LEN($C$6:$C$55)-LEN(SUBSTITUTE($C$6:$C$55,CHAR(10),""))+1)),
IF(_xlpm.r=0,"",_xlpm.r)
))</f>
        <v/>
      </c>
      <c r="AP64" s="61" t="str" cm="1">
        <f t="array" ref="AP64">IF($C64="","",_xlfn.LET(
_xlpm.r,SUMPRODUCT((ISNUMBER(SEARCH($C64,$C$6:$C$55)))*(AP$6:AP$55)/(LEN($C$6:$C$55)-LEN(SUBSTITUTE($C$6:$C$55,CHAR(10),""))+1)),
IF(_xlpm.r=0,"",_xlpm.r)
))</f>
        <v/>
      </c>
      <c r="AQ64" s="61" t="str" cm="1">
        <f t="array" ref="AQ64">IF($C64="","",_xlfn.LET(
_xlpm.r,SUMPRODUCT((ISNUMBER(SEARCH($C64,$C$6:$C$55)))*(AQ$6:AQ$55)/(LEN($C$6:$C$55)-LEN(SUBSTITUTE($C$6:$C$55,CHAR(10),""))+1)),
IF(_xlpm.r=0,"",_xlpm.r)
))</f>
        <v/>
      </c>
      <c r="AR64" s="61" t="str" cm="1">
        <f t="array" ref="AR64">IF($C64="","",_xlfn.LET(
_xlpm.r,SUMPRODUCT((ISNUMBER(SEARCH($C64,$C$6:$C$55)))*(AR$6:AR$55)/(LEN($C$6:$C$55)-LEN(SUBSTITUTE($C$6:$C$55,CHAR(10),""))+1)),
IF(_xlpm.r=0,"",_xlpm.r)
))</f>
        <v/>
      </c>
      <c r="AS64" s="61" t="str" cm="1">
        <f t="array" ref="AS64">IF($C64="","",_xlfn.LET(
_xlpm.r,SUMPRODUCT((ISNUMBER(SEARCH($C64,$C$6:$C$55)))*(AS$6:AS$55)/(LEN($C$6:$C$55)-LEN(SUBSTITUTE($C$6:$C$55,CHAR(10),""))+1)),
IF(_xlpm.r=0,"",_xlpm.r)
))</f>
        <v/>
      </c>
      <c r="AT64" s="61" t="str" cm="1">
        <f t="array" ref="AT64">IF($C64="","",_xlfn.LET(
_xlpm.r,SUMPRODUCT((ISNUMBER(SEARCH($C64,$C$6:$C$55)))*(AT$6:AT$55)/(LEN($C$6:$C$55)-LEN(SUBSTITUTE($C$6:$C$55,CHAR(10),""))+1)),
IF(_xlpm.r=0,"",_xlpm.r)
))</f>
        <v/>
      </c>
      <c r="AU64" s="61" t="str" cm="1">
        <f t="array" ref="AU64">IF($C64="","",_xlfn.LET(
_xlpm.r,SUMPRODUCT((ISNUMBER(SEARCH($C64,$C$6:$C$55)))*(AU$6:AU$55)/(LEN($C$6:$C$55)-LEN(SUBSTITUTE($C$6:$C$55,CHAR(10),""))+1)),
IF(_xlpm.r=0,"",_xlpm.r)
))</f>
        <v/>
      </c>
      <c r="AV64" s="61" t="str" cm="1">
        <f t="array" ref="AV64">IF($C64="","",_xlfn.LET(
_xlpm.r,SUMPRODUCT((ISNUMBER(SEARCH($C64,$C$6:$C$55)))*(AV$6:AV$55)/(LEN($C$6:$C$55)-LEN(SUBSTITUTE($C$6:$C$55,CHAR(10),""))+1)),
IF(_xlpm.r=0,"",_xlpm.r)
))</f>
        <v/>
      </c>
      <c r="AW64" s="61" t="str" cm="1">
        <f t="array" ref="AW64">IF($C64="","",_xlfn.LET(
_xlpm.r,SUMPRODUCT((ISNUMBER(SEARCH($C64,$C$6:$C$55)))*(AW$6:AW$55)/(LEN($C$6:$C$55)-LEN(SUBSTITUTE($C$6:$C$55,CHAR(10),""))+1)),
IF(_xlpm.r=0,"",_xlpm.r)
))</f>
        <v/>
      </c>
      <c r="AX64" s="61" t="str" cm="1">
        <f t="array" ref="AX64">IF($C64="","",_xlfn.LET(
_xlpm.r,SUMPRODUCT((ISNUMBER(SEARCH($C64,$C$6:$C$55)))*(AX$6:AX$55)/(LEN($C$6:$C$55)-LEN(SUBSTITUTE($C$6:$C$55,CHAR(10),""))+1)),
IF(_xlpm.r=0,"",_xlpm.r)
))</f>
        <v/>
      </c>
      <c r="AY64" s="61" t="str" cm="1">
        <f t="array" ref="AY64">IF($C64="","",_xlfn.LET(
_xlpm.r,SUMPRODUCT((ISNUMBER(SEARCH($C64,$C$6:$C$55)))*(AY$6:AY$55)/(LEN($C$6:$C$55)-LEN(SUBSTITUTE($C$6:$C$55,CHAR(10),""))+1)),
IF(_xlpm.r=0,"",_xlpm.r)
))</f>
        <v/>
      </c>
      <c r="AZ64" s="61" t="str" cm="1">
        <f t="array" ref="AZ64">IF($C64="","",_xlfn.LET(
_xlpm.r,SUMPRODUCT((ISNUMBER(SEARCH($C64,$C$6:$C$55)))*(AZ$6:AZ$55)/(LEN($C$6:$C$55)-LEN(SUBSTITUTE($C$6:$C$55,CHAR(10),""))+1)),
IF(_xlpm.r=0,"",_xlpm.r)
))</f>
        <v/>
      </c>
      <c r="BA64" s="61" t="str" cm="1">
        <f t="array" ref="BA64">IF($C64="","",_xlfn.LET(
_xlpm.r,SUMPRODUCT((ISNUMBER(SEARCH($C64,$C$6:$C$55)))*(BA$6:BA$55)/(LEN($C$6:$C$55)-LEN(SUBSTITUTE($C$6:$C$55,CHAR(10),""))+1)),
IF(_xlpm.r=0,"",_xlpm.r)
))</f>
        <v/>
      </c>
      <c r="BB64" s="61" t="str" cm="1">
        <f t="array" ref="BB64">IF($C64="","",_xlfn.LET(
_xlpm.r,SUMPRODUCT((ISNUMBER(SEARCH($C64,$C$6:$C$55)))*(BB$6:BB$55)/(LEN($C$6:$C$55)-LEN(SUBSTITUTE($C$6:$C$55,CHAR(10),""))+1)),
IF(_xlpm.r=0,"",_xlpm.r)
))</f>
        <v/>
      </c>
      <c r="BC64" s="61" t="str" cm="1">
        <f t="array" ref="BC64">IF($C64="","",_xlfn.LET(
_xlpm.r,SUMPRODUCT((ISNUMBER(SEARCH($C64,$C$6:$C$55)))*(BC$6:BC$55)/(LEN($C$6:$C$55)-LEN(SUBSTITUTE($C$6:$C$55,CHAR(10),""))+1)),
IF(_xlpm.r=0,"",_xlpm.r)
))</f>
        <v/>
      </c>
      <c r="BD64" s="61" t="str" cm="1">
        <f t="array" ref="BD64">IF($C64="","",_xlfn.LET(
_xlpm.r,SUMPRODUCT((ISNUMBER(SEARCH($C64,$C$6:$C$55)))*(BD$6:BD$55)/(LEN($C$6:$C$55)-LEN(SUBSTITUTE($C$6:$C$55,CHAR(10),""))+1)),
IF(_xlpm.r=0,"",_xlpm.r)
))</f>
        <v/>
      </c>
      <c r="BE64" s="61" t="str" cm="1">
        <f t="array" ref="BE64">IF($C64="","",_xlfn.LET(
_xlpm.r,SUMPRODUCT((ISNUMBER(SEARCH($C64,$C$6:$C$55)))*(BE$6:BE$55)/(LEN($C$6:$C$55)-LEN(SUBSTITUTE($C$6:$C$55,CHAR(10),""))+1)),
IF(_xlpm.r=0,"",_xlpm.r)
))</f>
        <v/>
      </c>
      <c r="BF64" s="61" t="str" cm="1">
        <f t="array" ref="BF64">IF($C64="","",_xlfn.LET(
_xlpm.r,SUMPRODUCT((ISNUMBER(SEARCH($C64,$C$6:$C$55)))*(BF$6:BF$55)/(LEN($C$6:$C$55)-LEN(SUBSTITUTE($C$6:$C$55,CHAR(10),""))+1)),
IF(_xlpm.r=0,"",_xlpm.r)
))</f>
        <v/>
      </c>
      <c r="BG64" s="61" t="str" cm="1">
        <f t="array" ref="BG64">IF($C64="","",_xlfn.LET(
_xlpm.r,SUMPRODUCT((ISNUMBER(SEARCH($C64,$C$6:$C$55)))*(BG$6:BG$55)/(LEN($C$6:$C$55)-LEN(SUBSTITUTE($C$6:$C$55,CHAR(10),""))+1)),
IF(_xlpm.r=0,"",_xlpm.r)
))</f>
        <v/>
      </c>
      <c r="BH64" s="61" t="str" cm="1">
        <f t="array" ref="BH64">IF($C64="","",_xlfn.LET(
_xlpm.r,SUMPRODUCT((ISNUMBER(SEARCH($C64,$C$6:$C$55)))*(BH$6:BH$55)/(LEN($C$6:$C$55)-LEN(SUBSTITUTE($C$6:$C$55,CHAR(10),""))+1)),
IF(_xlpm.r=0,"",_xlpm.r)
))</f>
        <v/>
      </c>
      <c r="BI64" s="61" t="str" cm="1">
        <f t="array" ref="BI64">IF($C64="","",_xlfn.LET(
_xlpm.r,SUMPRODUCT((ISNUMBER(SEARCH($C64,$C$6:$C$55)))*(BI$6:BI$55)/(LEN($C$6:$C$55)-LEN(SUBSTITUTE($C$6:$C$55,CHAR(10),""))+1)),
IF(_xlpm.r=0,"",_xlpm.r)
))</f>
        <v/>
      </c>
      <c r="BJ64" s="61" t="str" cm="1">
        <f t="array" ref="BJ64">IF($C64="","",_xlfn.LET(
_xlpm.r,SUMPRODUCT((ISNUMBER(SEARCH($C64,$C$6:$C$55)))*(BJ$6:BJ$55)/(LEN($C$6:$C$55)-LEN(SUBSTITUTE($C$6:$C$55,CHAR(10),""))+1)),
IF(_xlpm.r=0,"",_xlpm.r)
))</f>
        <v/>
      </c>
      <c r="BK64" s="61" t="str" cm="1">
        <f t="array" ref="BK64">IF($C64="","",_xlfn.LET(
_xlpm.r,SUMPRODUCT((ISNUMBER(SEARCH($C64,$C$6:$C$55)))*(BK$6:BK$55)/(LEN($C$6:$C$55)-LEN(SUBSTITUTE($C$6:$C$55,CHAR(10),""))+1)),
IF(_xlpm.r=0,"",_xlpm.r)
))</f>
        <v/>
      </c>
      <c r="BL64" s="61" t="str" cm="1">
        <f t="array" ref="BL64">IF($C64="","",_xlfn.LET(
_xlpm.r,SUMPRODUCT((ISNUMBER(SEARCH($C64,$C$6:$C$55)))*(BL$6:BL$55)/(LEN($C$6:$C$55)-LEN(SUBSTITUTE($C$6:$C$55,CHAR(10),""))+1)),
IF(_xlpm.r=0,"",_xlpm.r)
))</f>
        <v/>
      </c>
      <c r="BM64" s="61" t="str" cm="1">
        <f t="array" ref="BM64">IF($C64="","",_xlfn.LET(
_xlpm.r,SUMPRODUCT((ISNUMBER(SEARCH($C64,$C$6:$C$55)))*(BM$6:BM$55)/(LEN($C$6:$C$55)-LEN(SUBSTITUTE($C$6:$C$55,CHAR(10),""))+1)),
IF(_xlpm.r=0,"",_xlpm.r)
))</f>
        <v/>
      </c>
      <c r="BN64" s="61" t="str" cm="1">
        <f t="array" ref="BN64">IF($C64="","",_xlfn.LET(
_xlpm.r,SUMPRODUCT((ISNUMBER(SEARCH($C64,$C$6:$C$55)))*(BN$6:BN$55)/(LEN($C$6:$C$55)-LEN(SUBSTITUTE($C$6:$C$55,CHAR(10),""))+1)),
IF(_xlpm.r=0,"",_xlpm.r)
))</f>
        <v/>
      </c>
      <c r="BO64" s="61" t="str" cm="1">
        <f t="array" ref="BO64">IF($C64="","",_xlfn.LET(
_xlpm.r,SUMPRODUCT((ISNUMBER(SEARCH($C64,$C$6:$C$55)))*(BO$6:BO$55)/(LEN($C$6:$C$55)-LEN(SUBSTITUTE($C$6:$C$55,CHAR(10),""))+1)),
IF(_xlpm.r=0,"",_xlpm.r)
))</f>
        <v/>
      </c>
      <c r="BP64" s="61" t="str" cm="1">
        <f t="array" ref="BP64">IF($C64="","",_xlfn.LET(
_xlpm.r,SUMPRODUCT((ISNUMBER(SEARCH($C64,$C$6:$C$55)))*(BP$6:BP$55)/(LEN($C$6:$C$55)-LEN(SUBSTITUTE($C$6:$C$55,CHAR(10),""))+1)),
IF(_xlpm.r=0,"",_xlpm.r)
))</f>
        <v/>
      </c>
      <c r="BQ64" s="61" t="str" cm="1">
        <f t="array" ref="BQ64">IF($C64="","",_xlfn.LET(
_xlpm.r,SUMPRODUCT((ISNUMBER(SEARCH($C64,$C$6:$C$55)))*(BQ$6:BQ$55)/(LEN($C$6:$C$55)-LEN(SUBSTITUTE($C$6:$C$55,CHAR(10),""))+1)),
IF(_xlpm.r=0,"",_xlpm.r)
))</f>
        <v/>
      </c>
      <c r="BR64" s="61" t="str" cm="1">
        <f t="array" ref="BR64">IF($C64="","",_xlfn.LET(
_xlpm.r,SUMPRODUCT((ISNUMBER(SEARCH($C64,$C$6:$C$55)))*(BR$6:BR$55)/(LEN($C$6:$C$55)-LEN(SUBSTITUTE($C$6:$C$55,CHAR(10),""))+1)),
IF(_xlpm.r=0,"",_xlpm.r)
))</f>
        <v/>
      </c>
      <c r="BS64" s="61" t="str" cm="1">
        <f t="array" ref="BS64">IF($C64="","",_xlfn.LET(
_xlpm.r,SUMPRODUCT((ISNUMBER(SEARCH($C64,$C$6:$C$55)))*(BS$6:BS$55)/(LEN($C$6:$C$55)-LEN(SUBSTITUTE($C$6:$C$55,CHAR(10),""))+1)),
IF(_xlpm.r=0,"",_xlpm.r)
))</f>
        <v/>
      </c>
      <c r="BT64" s="61" t="str" cm="1">
        <f t="array" ref="BT64">IF($C64="","",_xlfn.LET(
_xlpm.r,SUMPRODUCT((ISNUMBER(SEARCH($C64,$C$6:$C$55)))*(BT$6:BT$55)/(LEN($C$6:$C$55)-LEN(SUBSTITUTE($C$6:$C$55,CHAR(10),""))+1)),
IF(_xlpm.r=0,"",_xlpm.r)
))</f>
        <v/>
      </c>
      <c r="BU64" s="61" t="str" cm="1">
        <f t="array" ref="BU64">IF($C64="","",_xlfn.LET(
_xlpm.r,SUMPRODUCT((ISNUMBER(SEARCH($C64,$C$6:$C$55)))*(BU$6:BU$55)/(LEN($C$6:$C$55)-LEN(SUBSTITUTE($C$6:$C$55,CHAR(10),""))+1)),
IF(_xlpm.r=0,"",_xlpm.r)
))</f>
        <v/>
      </c>
      <c r="BV64" s="61" t="str" cm="1">
        <f t="array" ref="BV64">IF($C64="","",_xlfn.LET(
_xlpm.r,SUMPRODUCT((ISNUMBER(SEARCH($C64,$C$6:$C$55)))*(BV$6:BV$55)/(LEN($C$6:$C$55)-LEN(SUBSTITUTE($C$6:$C$55,CHAR(10),""))+1)),
IF(_xlpm.r=0,"",_xlpm.r)
))</f>
        <v/>
      </c>
      <c r="BW64" s="61" t="str" cm="1">
        <f t="array" ref="BW64">IF($C64="","",_xlfn.LET(
_xlpm.r,SUMPRODUCT((ISNUMBER(SEARCH($C64,$C$6:$C$55)))*(BW$6:BW$55)/(LEN($C$6:$C$55)-LEN(SUBSTITUTE($C$6:$C$55,CHAR(10),""))+1)),
IF(_xlpm.r=0,"",_xlpm.r)
))</f>
        <v/>
      </c>
      <c r="BX64" s="61" t="str" cm="1">
        <f t="array" ref="BX64">IF($C64="","",_xlfn.LET(
_xlpm.r,SUMPRODUCT((ISNUMBER(SEARCH($C64,$C$6:$C$55)))*(BX$6:BX$55)/(LEN($C$6:$C$55)-LEN(SUBSTITUTE($C$6:$C$55,CHAR(10),""))+1)),
IF(_xlpm.r=0,"",_xlpm.r)
))</f>
        <v/>
      </c>
      <c r="BY64" s="61" t="str" cm="1">
        <f t="array" ref="BY64">IF($C64="","",_xlfn.LET(
_xlpm.r,SUMPRODUCT((ISNUMBER(SEARCH($C64,$C$6:$C$55)))*(BY$6:BY$55)/(LEN($C$6:$C$55)-LEN(SUBSTITUTE($C$6:$C$55,CHAR(10),""))+1)),
IF(_xlpm.r=0,"",_xlpm.r)
))</f>
        <v/>
      </c>
      <c r="BZ64" s="61" t="str" cm="1">
        <f t="array" ref="BZ64">IF($C64="","",_xlfn.LET(
_xlpm.r,SUMPRODUCT((ISNUMBER(SEARCH($C64,$C$6:$C$55)))*(BZ$6:BZ$55)/(LEN($C$6:$C$55)-LEN(SUBSTITUTE($C$6:$C$55,CHAR(10),""))+1)),
IF(_xlpm.r=0,"",_xlpm.r)
))</f>
        <v/>
      </c>
      <c r="CA64" s="61" t="str" cm="1">
        <f t="array" ref="CA64">IF($C64="","",_xlfn.LET(
_xlpm.r,SUMPRODUCT((ISNUMBER(SEARCH($C64,$C$6:$C$55)))*(CA$6:CA$55)/(LEN($C$6:$C$55)-LEN(SUBSTITUTE($C$6:$C$55,CHAR(10),""))+1)),
IF(_xlpm.r=0,"",_xlpm.r)
))</f>
        <v/>
      </c>
      <c r="CB64" s="61" t="str" cm="1">
        <f t="array" ref="CB64">IF($C64="","",_xlfn.LET(
_xlpm.r,SUMPRODUCT((ISNUMBER(SEARCH($C64,$C$6:$C$55)))*(CB$6:CB$55)/(LEN($C$6:$C$55)-LEN(SUBSTITUTE($C$6:$C$55,CHAR(10),""))+1)),
IF(_xlpm.r=0,"",_xlpm.r)
))</f>
        <v/>
      </c>
      <c r="CC64" s="61" t="str" cm="1">
        <f t="array" ref="CC64">IF($C64="","",_xlfn.LET(
_xlpm.r,SUMPRODUCT((ISNUMBER(SEARCH($C64,$C$6:$C$55)))*(CC$6:CC$55)/(LEN($C$6:$C$55)-LEN(SUBSTITUTE($C$6:$C$55,CHAR(10),""))+1)),
IF(_xlpm.r=0,"",_xlpm.r)
))</f>
        <v/>
      </c>
      <c r="CD64" s="61" t="str" cm="1">
        <f t="array" ref="CD64">IF($C64="","",_xlfn.LET(
_xlpm.r,SUMPRODUCT((ISNUMBER(SEARCH($C64,$C$6:$C$55)))*(CD$6:CD$55)/(LEN($C$6:$C$55)-LEN(SUBSTITUTE($C$6:$C$55,CHAR(10),""))+1)),
IF(_xlpm.r=0,"",_xlpm.r)
))</f>
        <v/>
      </c>
      <c r="CE64" s="61" t="str" cm="1">
        <f t="array" ref="CE64">IF($C64="","",_xlfn.LET(
_xlpm.r,SUMPRODUCT((ISNUMBER(SEARCH($C64,$C$6:$C$55)))*(CE$6:CE$55)/(LEN($C$6:$C$55)-LEN(SUBSTITUTE($C$6:$C$55,CHAR(10),""))+1)),
IF(_xlpm.r=0,"",_xlpm.r)
))</f>
        <v/>
      </c>
      <c r="CF64" s="61" t="str" cm="1">
        <f t="array" ref="CF64">IF($C64="","",_xlfn.LET(
_xlpm.r,SUMPRODUCT((ISNUMBER(SEARCH($C64,$C$6:$C$55)))*(CF$6:CF$55)/(LEN($C$6:$C$55)-LEN(SUBSTITUTE($C$6:$C$55,CHAR(10),""))+1)),
IF(_xlpm.r=0,"",_xlpm.r)
))</f>
        <v/>
      </c>
      <c r="CG64" s="61" t="str" cm="1">
        <f t="array" ref="CG64">IF($C64="","",_xlfn.LET(
_xlpm.r,SUMPRODUCT((ISNUMBER(SEARCH($C64,$C$6:$C$55)))*(CG$6:CG$55)/(LEN($C$6:$C$55)-LEN(SUBSTITUTE($C$6:$C$55,CHAR(10),""))+1)),
IF(_xlpm.r=0,"",_xlpm.r)
))</f>
        <v/>
      </c>
      <c r="CH64" s="61" t="str" cm="1">
        <f t="array" ref="CH64">IF($C64="","",_xlfn.LET(
_xlpm.r,SUMPRODUCT((ISNUMBER(SEARCH($C64,$C$6:$C$55)))*(CH$6:CH$55)/(LEN($C$6:$C$55)-LEN(SUBSTITUTE($C$6:$C$55,CHAR(10),""))+1)),
IF(_xlpm.r=0,"",_xlpm.r)
))</f>
        <v/>
      </c>
      <c r="CI64" s="61" t="str" cm="1">
        <f t="array" ref="CI64">IF($C64="","",_xlfn.LET(
_xlpm.r,SUMPRODUCT((ISNUMBER(SEARCH($C64,$C$6:$C$55)))*(CI$6:CI$55)/(LEN($C$6:$C$55)-LEN(SUBSTITUTE($C$6:$C$55,CHAR(10),""))+1)),
IF(_xlpm.r=0,"",_xlpm.r)
))</f>
        <v/>
      </c>
      <c r="CJ64" s="61" t="str" cm="1">
        <f t="array" ref="CJ64">IF($C64="","",_xlfn.LET(
_xlpm.r,SUMPRODUCT((ISNUMBER(SEARCH($C64,$C$6:$C$55)))*(CJ$6:CJ$55)/(LEN($C$6:$C$55)-LEN(SUBSTITUTE($C$6:$C$55,CHAR(10),""))+1)),
IF(_xlpm.r=0,"",_xlpm.r)
))</f>
        <v/>
      </c>
      <c r="CK64" s="61" t="str" cm="1">
        <f t="array" ref="CK64">IF($C64="","",_xlfn.LET(
_xlpm.r,SUMPRODUCT((ISNUMBER(SEARCH($C64,$C$6:$C$55)))*(CK$6:CK$55)/(LEN($C$6:$C$55)-LEN(SUBSTITUTE($C$6:$C$55,CHAR(10),""))+1)),
IF(_xlpm.r=0,"",_xlpm.r)
))</f>
        <v/>
      </c>
      <c r="CL64" s="61" t="str" cm="1">
        <f t="array" ref="CL64">IF($C64="","",_xlfn.LET(
_xlpm.r,SUMPRODUCT((ISNUMBER(SEARCH($C64,$C$6:$C$55)))*(CL$6:CL$55)/(LEN($C$6:$C$55)-LEN(SUBSTITUTE($C$6:$C$55,CHAR(10),""))+1)),
IF(_xlpm.r=0,"",_xlpm.r)
))</f>
        <v/>
      </c>
      <c r="CM64" s="61" t="str" cm="1">
        <f t="array" ref="CM64">IF($C64="","",_xlfn.LET(
_xlpm.r,SUMPRODUCT((ISNUMBER(SEARCH($C64,$C$6:$C$55)))*(CM$6:CM$55)/(LEN($C$6:$C$55)-LEN(SUBSTITUTE($C$6:$C$55,CHAR(10),""))+1)),
IF(_xlpm.r=0,"",_xlpm.r)
))</f>
        <v/>
      </c>
      <c r="CN64" s="61" t="str" cm="1">
        <f t="array" ref="CN64">IF($C64="","",_xlfn.LET(
_xlpm.r,SUMPRODUCT((ISNUMBER(SEARCH($C64,$C$6:$C$55)))*(CN$6:CN$55)/(LEN($C$6:$C$55)-LEN(SUBSTITUTE($C$6:$C$55,CHAR(10),""))+1)),
IF(_xlpm.r=0,"",_xlpm.r)
))</f>
        <v/>
      </c>
      <c r="CO64" s="61" t="str" cm="1">
        <f t="array" ref="CO64">IF($C64="","",_xlfn.LET(
_xlpm.r,SUMPRODUCT((ISNUMBER(SEARCH($C64,$C$6:$C$55)))*(CO$6:CO$55)/(LEN($C$6:$C$55)-LEN(SUBSTITUTE($C$6:$C$55,CHAR(10),""))+1)),
IF(_xlpm.r=0,"",_xlpm.r)
))</f>
        <v/>
      </c>
      <c r="CP64" s="61" t="str" cm="1">
        <f t="array" ref="CP64">IF($C64="","",_xlfn.LET(
_xlpm.r,SUMPRODUCT((ISNUMBER(SEARCH($C64,$C$6:$C$55)))*(CP$6:CP$55)/(LEN($C$6:$C$55)-LEN(SUBSTITUTE($C$6:$C$55,CHAR(10),""))+1)),
IF(_xlpm.r=0,"",_xlpm.r)
))</f>
        <v/>
      </c>
      <c r="CQ64" s="61" t="str" cm="1">
        <f t="array" ref="CQ64">IF($C64="","",_xlfn.LET(
_xlpm.r,SUMPRODUCT((ISNUMBER(SEARCH($C64,$C$6:$C$55)))*(CQ$6:CQ$55)/(LEN($C$6:$C$55)-LEN(SUBSTITUTE($C$6:$C$55,CHAR(10),""))+1)),
IF(_xlpm.r=0,"",_xlpm.r)
))</f>
        <v/>
      </c>
      <c r="CR64" s="61" t="str" cm="1">
        <f t="array" ref="CR64">IF($C64="","",_xlfn.LET(
_xlpm.r,SUMPRODUCT((ISNUMBER(SEARCH($C64,$C$6:$C$55)))*(CR$6:CR$55)/(LEN($C$6:$C$55)-LEN(SUBSTITUTE($C$6:$C$55,CHAR(10),""))+1)),
IF(_xlpm.r=0,"",_xlpm.r)
))</f>
        <v/>
      </c>
      <c r="CS64" s="61" t="str" cm="1">
        <f t="array" ref="CS64">IF($C64="","",_xlfn.LET(
_xlpm.r,SUMPRODUCT((ISNUMBER(SEARCH($C64,$C$6:$C$55)))*(CS$6:CS$55)/(LEN($C$6:$C$55)-LEN(SUBSTITUTE($C$6:$C$55,CHAR(10),""))+1)),
IF(_xlpm.r=0,"",_xlpm.r)
))</f>
        <v/>
      </c>
      <c r="CT64" s="61" t="str" cm="1">
        <f t="array" ref="CT64">IF($C64="","",_xlfn.LET(
_xlpm.r,SUMPRODUCT((ISNUMBER(SEARCH($C64,$C$6:$C$55)))*(CT$6:CT$55)/(LEN($C$6:$C$55)-LEN(SUBSTITUTE($C$6:$C$55,CHAR(10),""))+1)),
IF(_xlpm.r=0,"",_xlpm.r)
))</f>
        <v/>
      </c>
      <c r="CU64" s="61" t="str" cm="1">
        <f t="array" ref="CU64">IF($C64="","",_xlfn.LET(
_xlpm.r,SUMPRODUCT((ISNUMBER(SEARCH($C64,$C$6:$C$55)))*(CU$6:CU$55)/(LEN($C$6:$C$55)-LEN(SUBSTITUTE($C$6:$C$55,CHAR(10),""))+1)),
IF(_xlpm.r=0,"",_xlpm.r)
))</f>
        <v/>
      </c>
      <c r="CV64" s="61" t="str" cm="1">
        <f t="array" ref="CV64">IF($C64="","",_xlfn.LET(
_xlpm.r,SUMPRODUCT((ISNUMBER(SEARCH($C64,$C$6:$C$55)))*(CV$6:CV$55)/(LEN($C$6:$C$55)-LEN(SUBSTITUTE($C$6:$C$55,CHAR(10),""))+1)),
IF(_xlpm.r=0,"",_xlpm.r)
))</f>
        <v/>
      </c>
      <c r="CW64" s="61" t="str" cm="1">
        <f t="array" ref="CW64">IF($C64="","",_xlfn.LET(
_xlpm.r,SUMPRODUCT((ISNUMBER(SEARCH($C64,$C$6:$C$55)))*(CW$6:CW$55)/(LEN($C$6:$C$55)-LEN(SUBSTITUTE($C$6:$C$55,CHAR(10),""))+1)),
IF(_xlpm.r=0,"",_xlpm.r)
))</f>
        <v/>
      </c>
      <c r="CX64" s="61" t="str" cm="1">
        <f t="array" ref="CX64">IF($C64="","",_xlfn.LET(
_xlpm.r,SUMPRODUCT((ISNUMBER(SEARCH($C64,$C$6:$C$55)))*(CX$6:CX$55)/(LEN($C$6:$C$55)-LEN(SUBSTITUTE($C$6:$C$55,CHAR(10),""))+1)),
IF(_xlpm.r=0,"",_xlpm.r)
))</f>
        <v/>
      </c>
      <c r="CY64" s="61" t="str" cm="1">
        <f t="array" ref="CY64">IF($C64="","",_xlfn.LET(
_xlpm.r,SUMPRODUCT((ISNUMBER(SEARCH($C64,$C$6:$C$55)))*(CY$6:CY$55)/(LEN($C$6:$C$55)-LEN(SUBSTITUTE($C$6:$C$55,CHAR(10),""))+1)),
IF(_xlpm.r=0,"",_xlpm.r)
))</f>
        <v/>
      </c>
      <c r="CZ64" s="61" t="str" cm="1">
        <f t="array" ref="CZ64">IF($C64="","",_xlfn.LET(
_xlpm.r,SUMPRODUCT((ISNUMBER(SEARCH($C64,$C$6:$C$55)))*(CZ$6:CZ$55)/(LEN($C$6:$C$55)-LEN(SUBSTITUTE($C$6:$C$55,CHAR(10),""))+1)),
IF(_xlpm.r=0,"",_xlpm.r)
))</f>
        <v/>
      </c>
      <c r="DA64" s="61" t="str" cm="1">
        <f t="array" ref="DA64">IF($C64="","",_xlfn.LET(
_xlpm.r,SUMPRODUCT((ISNUMBER(SEARCH($C64,$C$6:$C$55)))*(DA$6:DA$55)/(LEN($C$6:$C$55)-LEN(SUBSTITUTE($C$6:$C$55,CHAR(10),""))+1)),
IF(_xlpm.r=0,"",_xlpm.r)
))</f>
        <v/>
      </c>
      <c r="DB64" s="61" t="str" cm="1">
        <f t="array" ref="DB64">IF($C64="","",_xlfn.LET(
_xlpm.r,SUMPRODUCT((ISNUMBER(SEARCH($C64,$C$6:$C$55)))*(DB$6:DB$55)/(LEN($C$6:$C$55)-LEN(SUBSTITUTE($C$6:$C$55,CHAR(10),""))+1)),
IF(_xlpm.r=0,"",_xlpm.r)
))</f>
        <v/>
      </c>
      <c r="DC64" s="61" t="str" cm="1">
        <f t="array" ref="DC64">IF($C64="","",_xlfn.LET(
_xlpm.r,SUMPRODUCT((ISNUMBER(SEARCH($C64,$C$6:$C$55)))*(DC$6:DC$55)/(LEN($C$6:$C$55)-LEN(SUBSTITUTE($C$6:$C$55,CHAR(10),""))+1)),
IF(_xlpm.r=0,"",_xlpm.r)
))</f>
        <v/>
      </c>
      <c r="DD64" s="61" t="str" cm="1">
        <f t="array" ref="DD64">IF($C64="","",_xlfn.LET(
_xlpm.r,SUMPRODUCT((ISNUMBER(SEARCH($C64,$C$6:$C$55)))*(DD$6:DD$55)/(LEN($C$6:$C$55)-LEN(SUBSTITUTE($C$6:$C$55,CHAR(10),""))+1)),
IF(_xlpm.r=0,"",_xlpm.r)
))</f>
        <v/>
      </c>
    </row>
    <row r="65" spans="3:108" x14ac:dyDescent="0.3">
      <c r="C65" s="3"/>
      <c r="D65" s="44"/>
      <c r="E65" s="56" t="str" cm="1">
        <f t="array" ref="E65">IF($C65="","",_xlfn.LET(
_xlpm.r,SUMPRODUCT((ISNUMBER(SEARCH($C65,$C$6:$C$55)))*(E$6:E$55)/(LEN($C$6:$C$55)-LEN(SUBSTITUTE($C$6:$C$55,CHAR(10),""))+1)),
IF(_xlpm.r=0,"",_xlpm.r)
))</f>
        <v/>
      </c>
      <c r="F65" s="56" t="str" cm="1">
        <f t="array" ref="F65">IF($C65="","",_xlfn.LET(
_xlpm.r,SUMPRODUCT((ISNUMBER(SEARCH($C65,$C$6:$C$55)))*(F$6:F$55)/(LEN($C$6:$C$55)-LEN(SUBSTITUTE($C$6:$C$55,CHAR(10),""))+1)),
IF(_xlpm.r=0,"",_xlpm.r)
))</f>
        <v/>
      </c>
      <c r="G65" s="56" t="str" cm="1">
        <f t="array" ref="G65">IF($C65="","",_xlfn.LET(
_xlpm.r,SUMPRODUCT((ISNUMBER(SEARCH($C65,$C$6:$C$55)))*(G$6:G$55)/(LEN($C$6:$C$55)-LEN(SUBSTITUTE($C$6:$C$55,CHAR(10),""))+1)),
IF(_xlpm.r=0,"",_xlpm.r)
))</f>
        <v/>
      </c>
      <c r="H65" s="56" t="str" cm="1">
        <f t="array" ref="H65">IF($C65="","",_xlfn.LET(
_xlpm.r,SUMPRODUCT((ISNUMBER(SEARCH($C65,$C$6:$C$55)))*(H$6:H$55)/(LEN($C$6:$C$55)-LEN(SUBSTITUTE($C$6:$C$55,CHAR(10),""))+1)),
IF(_xlpm.r=0,"",_xlpm.r)
))</f>
        <v/>
      </c>
      <c r="I65" s="56" t="str" cm="1">
        <f t="array" ref="I65">IF($C65="","",_xlfn.LET(
_xlpm.r,SUMPRODUCT((ISNUMBER(SEARCH($C65,$C$6:$C$55)))*(I$6:I$55)/(LEN($C$6:$C$55)-LEN(SUBSTITUTE($C$6:$C$55,CHAR(10),""))+1)),
IF(_xlpm.r=0,"",_xlpm.r)
))</f>
        <v/>
      </c>
      <c r="J65" s="56" t="str" cm="1">
        <f t="array" ref="J65">IF($C65="","",_xlfn.LET(
_xlpm.r,SUMPRODUCT((ISNUMBER(SEARCH($C65,$C$6:$C$55)))*(J$6:J$55)/(LEN($C$6:$C$55)-LEN(SUBSTITUTE($C$6:$C$55,CHAR(10),""))+1)),
IF(_xlpm.r=0,"",_xlpm.r)
))</f>
        <v/>
      </c>
      <c r="K65" s="56" t="str" cm="1">
        <f t="array" ref="K65">IF($C65="","",_xlfn.LET(
_xlpm.r,SUMPRODUCT((ISNUMBER(SEARCH($C65,$C$6:$C$55)))*(K$6:K$55)/(LEN($C$6:$C$55)-LEN(SUBSTITUTE($C$6:$C$55,CHAR(10),""))+1)),
IF(_xlpm.r=0,"",_xlpm.r)
))</f>
        <v/>
      </c>
      <c r="L65" s="56" t="str" cm="1">
        <f t="array" ref="L65">IF($C65="","",_xlfn.LET(
_xlpm.r,SUMPRODUCT((ISNUMBER(SEARCH($C65,$C$6:$C$55)))*(L$6:L$55)/(LEN($C$6:$C$55)-LEN(SUBSTITUTE($C$6:$C$55,CHAR(10),""))+1)),
IF(_xlpm.r=0,"",_xlpm.r)
))</f>
        <v/>
      </c>
      <c r="M65" s="56" t="str" cm="1">
        <f t="array" ref="M65">IF($C65="","",_xlfn.LET(
_xlpm.r,SUMPRODUCT((ISNUMBER(SEARCH($C65,$C$6:$C$55)))*(M$6:M$55)/(LEN($C$6:$C$55)-LEN(SUBSTITUTE($C$6:$C$55,CHAR(10),""))+1)),
IF(_xlpm.r=0,"",_xlpm.r)
))</f>
        <v/>
      </c>
      <c r="N65" s="56" t="str" cm="1">
        <f t="array" ref="N65">IF($C65="","",_xlfn.LET(
_xlpm.r,SUMPRODUCT((ISNUMBER(SEARCH($C65,$C$6:$C$55)))*(N$6:N$55)/(LEN($C$6:$C$55)-LEN(SUBSTITUTE($C$6:$C$55,CHAR(10),""))+1)),
IF(_xlpm.r=0,"",_xlpm.r)
))</f>
        <v/>
      </c>
      <c r="O65" s="56" t="str" cm="1">
        <f t="array" ref="O65">IF($C65="","",_xlfn.LET(
_xlpm.r,SUMPRODUCT((ISNUMBER(SEARCH($C65,$C$6:$C$55)))*(O$6:O$55)/(LEN($C$6:$C$55)-LEN(SUBSTITUTE($C$6:$C$55,CHAR(10),""))+1)),
IF(_xlpm.r=0,"",_xlpm.r)
))</f>
        <v/>
      </c>
      <c r="P65" s="56" t="str" cm="1">
        <f t="array" ref="P65">IF($C65="","",_xlfn.LET(
_xlpm.r,SUMPRODUCT((ISNUMBER(SEARCH($C65,$C$6:$C$55)))*(P$6:P$55)/(LEN($C$6:$C$55)-LEN(SUBSTITUTE($C$6:$C$55,CHAR(10),""))+1)),
IF(_xlpm.r=0,"",_xlpm.r)
))</f>
        <v/>
      </c>
      <c r="Q65" s="56" t="str" cm="1">
        <f t="array" ref="Q65">IF($C65="","",_xlfn.LET(
_xlpm.r,SUMPRODUCT((ISNUMBER(SEARCH($C65,$C$6:$C$55)))*(Q$6:Q$55)/(LEN($C$6:$C$55)-LEN(SUBSTITUTE($C$6:$C$55,CHAR(10),""))+1)),
IF(_xlpm.r=0,"",_xlpm.r)
))</f>
        <v/>
      </c>
      <c r="R65" s="56" t="str" cm="1">
        <f t="array" ref="R65">IF($C65="","",_xlfn.LET(
_xlpm.r,SUMPRODUCT((ISNUMBER(SEARCH($C65,$C$6:$C$55)))*(R$6:R$55)/(LEN($C$6:$C$55)-LEN(SUBSTITUTE($C$6:$C$55,CHAR(10),""))+1)),
IF(_xlpm.r=0,"",_xlpm.r)
))</f>
        <v/>
      </c>
      <c r="S65" s="56" t="str" cm="1">
        <f t="array" ref="S65">IF($C65="","",_xlfn.LET(
_xlpm.r,SUMPRODUCT((ISNUMBER(SEARCH($C65,$C$6:$C$55)))*(S$6:S$55)/(LEN($C$6:$C$55)-LEN(SUBSTITUTE($C$6:$C$55,CHAR(10),""))+1)),
IF(_xlpm.r=0,"",_xlpm.r)
))</f>
        <v/>
      </c>
      <c r="T65" s="56" t="str" cm="1">
        <f t="array" ref="T65">IF($C65="","",_xlfn.LET(
_xlpm.r,SUMPRODUCT((ISNUMBER(SEARCH($C65,$C$6:$C$55)))*(T$6:T$55)/(LEN($C$6:$C$55)-LEN(SUBSTITUTE($C$6:$C$55,CHAR(10),""))+1)),
IF(_xlpm.r=0,"",_xlpm.r)
))</f>
        <v/>
      </c>
      <c r="U65" s="56" t="str" cm="1">
        <f t="array" ref="U65">IF($C65="","",_xlfn.LET(
_xlpm.r,SUMPRODUCT((ISNUMBER(SEARCH($C65,$C$6:$C$55)))*(U$6:U$55)/(LEN($C$6:$C$55)-LEN(SUBSTITUTE($C$6:$C$55,CHAR(10),""))+1)),
IF(_xlpm.r=0,"",_xlpm.r)
))</f>
        <v/>
      </c>
      <c r="V65" s="56" t="str" cm="1">
        <f t="array" ref="V65">IF($C65="","",_xlfn.LET(
_xlpm.r,SUMPRODUCT((ISNUMBER(SEARCH($C65,$C$6:$C$55)))*(V$6:V$55)/(LEN($C$6:$C$55)-LEN(SUBSTITUTE($C$6:$C$55,CHAR(10),""))+1)),
IF(_xlpm.r=0,"",_xlpm.r)
))</f>
        <v/>
      </c>
      <c r="W65" s="56" t="str" cm="1">
        <f t="array" ref="W65">IF($C65="","",_xlfn.LET(
_xlpm.r,SUMPRODUCT((ISNUMBER(SEARCH($C65,$C$6:$C$55)))*(W$6:W$55)/(LEN($C$6:$C$55)-LEN(SUBSTITUTE($C$6:$C$55,CHAR(10),""))+1)),
IF(_xlpm.r=0,"",_xlpm.r)
))</f>
        <v/>
      </c>
      <c r="X65" s="56" t="str" cm="1">
        <f t="array" ref="X65">IF($C65="","",_xlfn.LET(
_xlpm.r,SUMPRODUCT((ISNUMBER(SEARCH($C65,$C$6:$C$55)))*(X$6:X$55)/(LEN($C$6:$C$55)-LEN(SUBSTITUTE($C$6:$C$55,CHAR(10),""))+1)),
IF(_xlpm.r=0,"",_xlpm.r)
))</f>
        <v/>
      </c>
      <c r="Y65" s="56" t="str" cm="1">
        <f t="array" ref="Y65">IF($C65="","",_xlfn.LET(
_xlpm.r,SUMPRODUCT((ISNUMBER(SEARCH($C65,$C$6:$C$55)))*(Y$6:Y$55)/(LEN($C$6:$C$55)-LEN(SUBSTITUTE($C$6:$C$55,CHAR(10),""))+1)),
IF(_xlpm.r=0,"",_xlpm.r)
))</f>
        <v/>
      </c>
      <c r="Z65" s="56" t="str" cm="1">
        <f t="array" ref="Z65">IF($C65="","",_xlfn.LET(
_xlpm.r,SUMPRODUCT((ISNUMBER(SEARCH($C65,$C$6:$C$55)))*(Z$6:Z$55)/(LEN($C$6:$C$55)-LEN(SUBSTITUTE($C$6:$C$55,CHAR(10),""))+1)),
IF(_xlpm.r=0,"",_xlpm.r)
))</f>
        <v/>
      </c>
      <c r="AA65" s="56" t="str" cm="1">
        <f t="array" ref="AA65">IF($C65="","",_xlfn.LET(
_xlpm.r,SUMPRODUCT((ISNUMBER(SEARCH($C65,$C$6:$C$55)))*(AA$6:AA$55)/(LEN($C$6:$C$55)-LEN(SUBSTITUTE($C$6:$C$55,CHAR(10),""))+1)),
IF(_xlpm.r=0,"",_xlpm.r)
))</f>
        <v/>
      </c>
      <c r="AB65" s="56" t="str" cm="1">
        <f t="array" ref="AB65">IF($C65="","",_xlfn.LET(
_xlpm.r,SUMPRODUCT((ISNUMBER(SEARCH($C65,$C$6:$C$55)))*(AB$6:AB$55)/(LEN($C$6:$C$55)-LEN(SUBSTITUTE($C$6:$C$55,CHAR(10),""))+1)),
IF(_xlpm.r=0,"",_xlpm.r)
))</f>
        <v/>
      </c>
      <c r="AC65" s="56" t="str" cm="1">
        <f t="array" ref="AC65">IF($C65="","",_xlfn.LET(
_xlpm.r,SUMPRODUCT((ISNUMBER(SEARCH($C65,$C$6:$C$55)))*(AC$6:AC$55)/(LEN($C$6:$C$55)-LEN(SUBSTITUTE($C$6:$C$55,CHAR(10),""))+1)),
IF(_xlpm.r=0,"",_xlpm.r)
))</f>
        <v/>
      </c>
      <c r="AD65" s="56" t="str" cm="1">
        <f t="array" ref="AD65">IF($C65="","",_xlfn.LET(
_xlpm.r,SUMPRODUCT((ISNUMBER(SEARCH($C65,$C$6:$C$55)))*(AD$6:AD$55)/(LEN($C$6:$C$55)-LEN(SUBSTITUTE($C$6:$C$55,CHAR(10),""))+1)),
IF(_xlpm.r=0,"",_xlpm.r)
))</f>
        <v/>
      </c>
      <c r="AE65" s="56" t="str" cm="1">
        <f t="array" ref="AE65">IF($C65="","",_xlfn.LET(
_xlpm.r,SUMPRODUCT((ISNUMBER(SEARCH($C65,$C$6:$C$55)))*(AE$6:AE$55)/(LEN($C$6:$C$55)-LEN(SUBSTITUTE($C$6:$C$55,CHAR(10),""))+1)),
IF(_xlpm.r=0,"",_xlpm.r)
))</f>
        <v/>
      </c>
      <c r="AF65" s="56" t="str" cm="1">
        <f t="array" ref="AF65">IF($C65="","",_xlfn.LET(
_xlpm.r,SUMPRODUCT((ISNUMBER(SEARCH($C65,$C$6:$C$55)))*(AF$6:AF$55)/(LEN($C$6:$C$55)-LEN(SUBSTITUTE($C$6:$C$55,CHAR(10),""))+1)),
IF(_xlpm.r=0,"",_xlpm.r)
))</f>
        <v/>
      </c>
      <c r="AG65" s="56" t="str" cm="1">
        <f t="array" ref="AG65">IF($C65="","",_xlfn.LET(
_xlpm.r,SUMPRODUCT((ISNUMBER(SEARCH($C65,$C$6:$C$55)))*(AG$6:AG$55)/(LEN($C$6:$C$55)-LEN(SUBSTITUTE($C$6:$C$55,CHAR(10),""))+1)),
IF(_xlpm.r=0,"",_xlpm.r)
))</f>
        <v/>
      </c>
      <c r="AH65" s="56" t="str" cm="1">
        <f t="array" ref="AH65">IF($C65="","",_xlfn.LET(
_xlpm.r,SUMPRODUCT((ISNUMBER(SEARCH($C65,$C$6:$C$55)))*(AH$6:AH$55)/(LEN($C$6:$C$55)-LEN(SUBSTITUTE($C$6:$C$55,CHAR(10),""))+1)),
IF(_xlpm.r=0,"",_xlpm.r)
))</f>
        <v/>
      </c>
      <c r="AI65" s="56" t="str" cm="1">
        <f t="array" ref="AI65">IF($C65="","",_xlfn.LET(
_xlpm.r,SUMPRODUCT((ISNUMBER(SEARCH($C65,$C$6:$C$55)))*(AI$6:AI$55)/(LEN($C$6:$C$55)-LEN(SUBSTITUTE($C$6:$C$55,CHAR(10),""))+1)),
IF(_xlpm.r=0,"",_xlpm.r)
))</f>
        <v/>
      </c>
      <c r="AJ65" s="56" t="str" cm="1">
        <f t="array" ref="AJ65">IF($C65="","",_xlfn.LET(
_xlpm.r,SUMPRODUCT((ISNUMBER(SEARCH($C65,$C$6:$C$55)))*(AJ$6:AJ$55)/(LEN($C$6:$C$55)-LEN(SUBSTITUTE($C$6:$C$55,CHAR(10),""))+1)),
IF(_xlpm.r=0,"",_xlpm.r)
))</f>
        <v/>
      </c>
      <c r="AK65" s="56" t="str" cm="1">
        <f t="array" ref="AK65">IF($C65="","",_xlfn.LET(
_xlpm.r,SUMPRODUCT((ISNUMBER(SEARCH($C65,$C$6:$C$55)))*(AK$6:AK$55)/(LEN($C$6:$C$55)-LEN(SUBSTITUTE($C$6:$C$55,CHAR(10),""))+1)),
IF(_xlpm.r=0,"",_xlpm.r)
))</f>
        <v/>
      </c>
      <c r="AL65" s="56" t="str" cm="1">
        <f t="array" ref="AL65">IF($C65="","",_xlfn.LET(
_xlpm.r,SUMPRODUCT((ISNUMBER(SEARCH($C65,$C$6:$C$55)))*(AL$6:AL$55)/(LEN($C$6:$C$55)-LEN(SUBSTITUTE($C$6:$C$55,CHAR(10),""))+1)),
IF(_xlpm.r=0,"",_xlpm.r)
))</f>
        <v/>
      </c>
      <c r="AM65" s="56" t="str" cm="1">
        <f t="array" ref="AM65">IF($C65="","",_xlfn.LET(
_xlpm.r,SUMPRODUCT((ISNUMBER(SEARCH($C65,$C$6:$C$55)))*(AM$6:AM$55)/(LEN($C$6:$C$55)-LEN(SUBSTITUTE($C$6:$C$55,CHAR(10),""))+1)),
IF(_xlpm.r=0,"",_xlpm.r)
))</f>
        <v/>
      </c>
      <c r="AN65" s="56" t="str" cm="1">
        <f t="array" ref="AN65">IF($C65="","",_xlfn.LET(
_xlpm.r,SUMPRODUCT((ISNUMBER(SEARCH($C65,$C$6:$C$55)))*(AN$6:AN$55)/(LEN($C$6:$C$55)-LEN(SUBSTITUTE($C$6:$C$55,CHAR(10),""))+1)),
IF(_xlpm.r=0,"",_xlpm.r)
))</f>
        <v/>
      </c>
      <c r="AO65" s="56" t="str" cm="1">
        <f t="array" ref="AO65">IF($C65="","",_xlfn.LET(
_xlpm.r,SUMPRODUCT((ISNUMBER(SEARCH($C65,$C$6:$C$55)))*(AO$6:AO$55)/(LEN($C$6:$C$55)-LEN(SUBSTITUTE($C$6:$C$55,CHAR(10),""))+1)),
IF(_xlpm.r=0,"",_xlpm.r)
))</f>
        <v/>
      </c>
      <c r="AP65" s="56" t="str" cm="1">
        <f t="array" ref="AP65">IF($C65="","",_xlfn.LET(
_xlpm.r,SUMPRODUCT((ISNUMBER(SEARCH($C65,$C$6:$C$55)))*(AP$6:AP$55)/(LEN($C$6:$C$55)-LEN(SUBSTITUTE($C$6:$C$55,CHAR(10),""))+1)),
IF(_xlpm.r=0,"",_xlpm.r)
))</f>
        <v/>
      </c>
      <c r="AQ65" s="56" t="str" cm="1">
        <f t="array" ref="AQ65">IF($C65="","",_xlfn.LET(
_xlpm.r,SUMPRODUCT((ISNUMBER(SEARCH($C65,$C$6:$C$55)))*(AQ$6:AQ$55)/(LEN($C$6:$C$55)-LEN(SUBSTITUTE($C$6:$C$55,CHAR(10),""))+1)),
IF(_xlpm.r=0,"",_xlpm.r)
))</f>
        <v/>
      </c>
      <c r="AR65" s="56" t="str" cm="1">
        <f t="array" ref="AR65">IF($C65="","",_xlfn.LET(
_xlpm.r,SUMPRODUCT((ISNUMBER(SEARCH($C65,$C$6:$C$55)))*(AR$6:AR$55)/(LEN($C$6:$C$55)-LEN(SUBSTITUTE($C$6:$C$55,CHAR(10),""))+1)),
IF(_xlpm.r=0,"",_xlpm.r)
))</f>
        <v/>
      </c>
      <c r="AS65" s="56" t="str" cm="1">
        <f t="array" ref="AS65">IF($C65="","",_xlfn.LET(
_xlpm.r,SUMPRODUCT((ISNUMBER(SEARCH($C65,$C$6:$C$55)))*(AS$6:AS$55)/(LEN($C$6:$C$55)-LEN(SUBSTITUTE($C$6:$C$55,CHAR(10),""))+1)),
IF(_xlpm.r=0,"",_xlpm.r)
))</f>
        <v/>
      </c>
      <c r="AT65" s="56" t="str" cm="1">
        <f t="array" ref="AT65">IF($C65="","",_xlfn.LET(
_xlpm.r,SUMPRODUCT((ISNUMBER(SEARCH($C65,$C$6:$C$55)))*(AT$6:AT$55)/(LEN($C$6:$C$55)-LEN(SUBSTITUTE($C$6:$C$55,CHAR(10),""))+1)),
IF(_xlpm.r=0,"",_xlpm.r)
))</f>
        <v/>
      </c>
      <c r="AU65" s="56" t="str" cm="1">
        <f t="array" ref="AU65">IF($C65="","",_xlfn.LET(
_xlpm.r,SUMPRODUCT((ISNUMBER(SEARCH($C65,$C$6:$C$55)))*(AU$6:AU$55)/(LEN($C$6:$C$55)-LEN(SUBSTITUTE($C$6:$C$55,CHAR(10),""))+1)),
IF(_xlpm.r=0,"",_xlpm.r)
))</f>
        <v/>
      </c>
      <c r="AV65" s="56" t="str" cm="1">
        <f t="array" ref="AV65">IF($C65="","",_xlfn.LET(
_xlpm.r,SUMPRODUCT((ISNUMBER(SEARCH($C65,$C$6:$C$55)))*(AV$6:AV$55)/(LEN($C$6:$C$55)-LEN(SUBSTITUTE($C$6:$C$55,CHAR(10),""))+1)),
IF(_xlpm.r=0,"",_xlpm.r)
))</f>
        <v/>
      </c>
      <c r="AW65" s="56" t="str" cm="1">
        <f t="array" ref="AW65">IF($C65="","",_xlfn.LET(
_xlpm.r,SUMPRODUCT((ISNUMBER(SEARCH($C65,$C$6:$C$55)))*(AW$6:AW$55)/(LEN($C$6:$C$55)-LEN(SUBSTITUTE($C$6:$C$55,CHAR(10),""))+1)),
IF(_xlpm.r=0,"",_xlpm.r)
))</f>
        <v/>
      </c>
      <c r="AX65" s="56" t="str" cm="1">
        <f t="array" ref="AX65">IF($C65="","",_xlfn.LET(
_xlpm.r,SUMPRODUCT((ISNUMBER(SEARCH($C65,$C$6:$C$55)))*(AX$6:AX$55)/(LEN($C$6:$C$55)-LEN(SUBSTITUTE($C$6:$C$55,CHAR(10),""))+1)),
IF(_xlpm.r=0,"",_xlpm.r)
))</f>
        <v/>
      </c>
      <c r="AY65" s="56" t="str" cm="1">
        <f t="array" ref="AY65">IF($C65="","",_xlfn.LET(
_xlpm.r,SUMPRODUCT((ISNUMBER(SEARCH($C65,$C$6:$C$55)))*(AY$6:AY$55)/(LEN($C$6:$C$55)-LEN(SUBSTITUTE($C$6:$C$55,CHAR(10),""))+1)),
IF(_xlpm.r=0,"",_xlpm.r)
))</f>
        <v/>
      </c>
      <c r="AZ65" s="56" t="str" cm="1">
        <f t="array" ref="AZ65">IF($C65="","",_xlfn.LET(
_xlpm.r,SUMPRODUCT((ISNUMBER(SEARCH($C65,$C$6:$C$55)))*(AZ$6:AZ$55)/(LEN($C$6:$C$55)-LEN(SUBSTITUTE($C$6:$C$55,CHAR(10),""))+1)),
IF(_xlpm.r=0,"",_xlpm.r)
))</f>
        <v/>
      </c>
      <c r="BA65" s="56" t="str" cm="1">
        <f t="array" ref="BA65">IF($C65="","",_xlfn.LET(
_xlpm.r,SUMPRODUCT((ISNUMBER(SEARCH($C65,$C$6:$C$55)))*(BA$6:BA$55)/(LEN($C$6:$C$55)-LEN(SUBSTITUTE($C$6:$C$55,CHAR(10),""))+1)),
IF(_xlpm.r=0,"",_xlpm.r)
))</f>
        <v/>
      </c>
      <c r="BB65" s="56" t="str" cm="1">
        <f t="array" ref="BB65">IF($C65="","",_xlfn.LET(
_xlpm.r,SUMPRODUCT((ISNUMBER(SEARCH($C65,$C$6:$C$55)))*(BB$6:BB$55)/(LEN($C$6:$C$55)-LEN(SUBSTITUTE($C$6:$C$55,CHAR(10),""))+1)),
IF(_xlpm.r=0,"",_xlpm.r)
))</f>
        <v/>
      </c>
      <c r="BC65" s="56" t="str" cm="1">
        <f t="array" ref="BC65">IF($C65="","",_xlfn.LET(
_xlpm.r,SUMPRODUCT((ISNUMBER(SEARCH($C65,$C$6:$C$55)))*(BC$6:BC$55)/(LEN($C$6:$C$55)-LEN(SUBSTITUTE($C$6:$C$55,CHAR(10),""))+1)),
IF(_xlpm.r=0,"",_xlpm.r)
))</f>
        <v/>
      </c>
      <c r="BD65" s="56" t="str" cm="1">
        <f t="array" ref="BD65">IF($C65="","",_xlfn.LET(
_xlpm.r,SUMPRODUCT((ISNUMBER(SEARCH($C65,$C$6:$C$55)))*(BD$6:BD$55)/(LEN($C$6:$C$55)-LEN(SUBSTITUTE($C$6:$C$55,CHAR(10),""))+1)),
IF(_xlpm.r=0,"",_xlpm.r)
))</f>
        <v/>
      </c>
      <c r="BE65" s="56" t="str" cm="1">
        <f t="array" ref="BE65">IF($C65="","",_xlfn.LET(
_xlpm.r,SUMPRODUCT((ISNUMBER(SEARCH($C65,$C$6:$C$55)))*(BE$6:BE$55)/(LEN($C$6:$C$55)-LEN(SUBSTITUTE($C$6:$C$55,CHAR(10),""))+1)),
IF(_xlpm.r=0,"",_xlpm.r)
))</f>
        <v/>
      </c>
      <c r="BF65" s="56" t="str" cm="1">
        <f t="array" ref="BF65">IF($C65="","",_xlfn.LET(
_xlpm.r,SUMPRODUCT((ISNUMBER(SEARCH($C65,$C$6:$C$55)))*(BF$6:BF$55)/(LEN($C$6:$C$55)-LEN(SUBSTITUTE($C$6:$C$55,CHAR(10),""))+1)),
IF(_xlpm.r=0,"",_xlpm.r)
))</f>
        <v/>
      </c>
      <c r="BG65" s="56" t="str" cm="1">
        <f t="array" ref="BG65">IF($C65="","",_xlfn.LET(
_xlpm.r,SUMPRODUCT((ISNUMBER(SEARCH($C65,$C$6:$C$55)))*(BG$6:BG$55)/(LEN($C$6:$C$55)-LEN(SUBSTITUTE($C$6:$C$55,CHAR(10),""))+1)),
IF(_xlpm.r=0,"",_xlpm.r)
))</f>
        <v/>
      </c>
      <c r="BH65" s="56" t="str" cm="1">
        <f t="array" ref="BH65">IF($C65="","",_xlfn.LET(
_xlpm.r,SUMPRODUCT((ISNUMBER(SEARCH($C65,$C$6:$C$55)))*(BH$6:BH$55)/(LEN($C$6:$C$55)-LEN(SUBSTITUTE($C$6:$C$55,CHAR(10),""))+1)),
IF(_xlpm.r=0,"",_xlpm.r)
))</f>
        <v/>
      </c>
      <c r="BI65" s="56" t="str" cm="1">
        <f t="array" ref="BI65">IF($C65="","",_xlfn.LET(
_xlpm.r,SUMPRODUCT((ISNUMBER(SEARCH($C65,$C$6:$C$55)))*(BI$6:BI$55)/(LEN($C$6:$C$55)-LEN(SUBSTITUTE($C$6:$C$55,CHAR(10),""))+1)),
IF(_xlpm.r=0,"",_xlpm.r)
))</f>
        <v/>
      </c>
      <c r="BJ65" s="56" t="str" cm="1">
        <f t="array" ref="BJ65">IF($C65="","",_xlfn.LET(
_xlpm.r,SUMPRODUCT((ISNUMBER(SEARCH($C65,$C$6:$C$55)))*(BJ$6:BJ$55)/(LEN($C$6:$C$55)-LEN(SUBSTITUTE($C$6:$C$55,CHAR(10),""))+1)),
IF(_xlpm.r=0,"",_xlpm.r)
))</f>
        <v/>
      </c>
      <c r="BK65" s="56" t="str" cm="1">
        <f t="array" ref="BK65">IF($C65="","",_xlfn.LET(
_xlpm.r,SUMPRODUCT((ISNUMBER(SEARCH($C65,$C$6:$C$55)))*(BK$6:BK$55)/(LEN($C$6:$C$55)-LEN(SUBSTITUTE($C$6:$C$55,CHAR(10),""))+1)),
IF(_xlpm.r=0,"",_xlpm.r)
))</f>
        <v/>
      </c>
      <c r="BL65" s="56" t="str" cm="1">
        <f t="array" ref="BL65">IF($C65="","",_xlfn.LET(
_xlpm.r,SUMPRODUCT((ISNUMBER(SEARCH($C65,$C$6:$C$55)))*(BL$6:BL$55)/(LEN($C$6:$C$55)-LEN(SUBSTITUTE($C$6:$C$55,CHAR(10),""))+1)),
IF(_xlpm.r=0,"",_xlpm.r)
))</f>
        <v/>
      </c>
      <c r="BM65" s="56" t="str" cm="1">
        <f t="array" ref="BM65">IF($C65="","",_xlfn.LET(
_xlpm.r,SUMPRODUCT((ISNUMBER(SEARCH($C65,$C$6:$C$55)))*(BM$6:BM$55)/(LEN($C$6:$C$55)-LEN(SUBSTITUTE($C$6:$C$55,CHAR(10),""))+1)),
IF(_xlpm.r=0,"",_xlpm.r)
))</f>
        <v/>
      </c>
      <c r="BN65" s="56" t="str" cm="1">
        <f t="array" ref="BN65">IF($C65="","",_xlfn.LET(
_xlpm.r,SUMPRODUCT((ISNUMBER(SEARCH($C65,$C$6:$C$55)))*(BN$6:BN$55)/(LEN($C$6:$C$55)-LEN(SUBSTITUTE($C$6:$C$55,CHAR(10),""))+1)),
IF(_xlpm.r=0,"",_xlpm.r)
))</f>
        <v/>
      </c>
      <c r="BO65" s="56" t="str" cm="1">
        <f t="array" ref="BO65">IF($C65="","",_xlfn.LET(
_xlpm.r,SUMPRODUCT((ISNUMBER(SEARCH($C65,$C$6:$C$55)))*(BO$6:BO$55)/(LEN($C$6:$C$55)-LEN(SUBSTITUTE($C$6:$C$55,CHAR(10),""))+1)),
IF(_xlpm.r=0,"",_xlpm.r)
))</f>
        <v/>
      </c>
      <c r="BP65" s="56" t="str" cm="1">
        <f t="array" ref="BP65">IF($C65="","",_xlfn.LET(
_xlpm.r,SUMPRODUCT((ISNUMBER(SEARCH($C65,$C$6:$C$55)))*(BP$6:BP$55)/(LEN($C$6:$C$55)-LEN(SUBSTITUTE($C$6:$C$55,CHAR(10),""))+1)),
IF(_xlpm.r=0,"",_xlpm.r)
))</f>
        <v/>
      </c>
      <c r="BQ65" s="56" t="str" cm="1">
        <f t="array" ref="BQ65">IF($C65="","",_xlfn.LET(
_xlpm.r,SUMPRODUCT((ISNUMBER(SEARCH($C65,$C$6:$C$55)))*(BQ$6:BQ$55)/(LEN($C$6:$C$55)-LEN(SUBSTITUTE($C$6:$C$55,CHAR(10),""))+1)),
IF(_xlpm.r=0,"",_xlpm.r)
))</f>
        <v/>
      </c>
      <c r="BR65" s="56" t="str" cm="1">
        <f t="array" ref="BR65">IF($C65="","",_xlfn.LET(
_xlpm.r,SUMPRODUCT((ISNUMBER(SEARCH($C65,$C$6:$C$55)))*(BR$6:BR$55)/(LEN($C$6:$C$55)-LEN(SUBSTITUTE($C$6:$C$55,CHAR(10),""))+1)),
IF(_xlpm.r=0,"",_xlpm.r)
))</f>
        <v/>
      </c>
      <c r="BS65" s="56" t="str" cm="1">
        <f t="array" ref="BS65">IF($C65="","",_xlfn.LET(
_xlpm.r,SUMPRODUCT((ISNUMBER(SEARCH($C65,$C$6:$C$55)))*(BS$6:BS$55)/(LEN($C$6:$C$55)-LEN(SUBSTITUTE($C$6:$C$55,CHAR(10),""))+1)),
IF(_xlpm.r=0,"",_xlpm.r)
))</f>
        <v/>
      </c>
      <c r="BT65" s="56" t="str" cm="1">
        <f t="array" ref="BT65">IF($C65="","",_xlfn.LET(
_xlpm.r,SUMPRODUCT((ISNUMBER(SEARCH($C65,$C$6:$C$55)))*(BT$6:BT$55)/(LEN($C$6:$C$55)-LEN(SUBSTITUTE($C$6:$C$55,CHAR(10),""))+1)),
IF(_xlpm.r=0,"",_xlpm.r)
))</f>
        <v/>
      </c>
      <c r="BU65" s="56" t="str" cm="1">
        <f t="array" ref="BU65">IF($C65="","",_xlfn.LET(
_xlpm.r,SUMPRODUCT((ISNUMBER(SEARCH($C65,$C$6:$C$55)))*(BU$6:BU$55)/(LEN($C$6:$C$55)-LEN(SUBSTITUTE($C$6:$C$55,CHAR(10),""))+1)),
IF(_xlpm.r=0,"",_xlpm.r)
))</f>
        <v/>
      </c>
      <c r="BV65" s="56" t="str" cm="1">
        <f t="array" ref="BV65">IF($C65="","",_xlfn.LET(
_xlpm.r,SUMPRODUCT((ISNUMBER(SEARCH($C65,$C$6:$C$55)))*(BV$6:BV$55)/(LEN($C$6:$C$55)-LEN(SUBSTITUTE($C$6:$C$55,CHAR(10),""))+1)),
IF(_xlpm.r=0,"",_xlpm.r)
))</f>
        <v/>
      </c>
      <c r="BW65" s="56" t="str" cm="1">
        <f t="array" ref="BW65">IF($C65="","",_xlfn.LET(
_xlpm.r,SUMPRODUCT((ISNUMBER(SEARCH($C65,$C$6:$C$55)))*(BW$6:BW$55)/(LEN($C$6:$C$55)-LEN(SUBSTITUTE($C$6:$C$55,CHAR(10),""))+1)),
IF(_xlpm.r=0,"",_xlpm.r)
))</f>
        <v/>
      </c>
      <c r="BX65" s="56" t="str" cm="1">
        <f t="array" ref="BX65">IF($C65="","",_xlfn.LET(
_xlpm.r,SUMPRODUCT((ISNUMBER(SEARCH($C65,$C$6:$C$55)))*(BX$6:BX$55)/(LEN($C$6:$C$55)-LEN(SUBSTITUTE($C$6:$C$55,CHAR(10),""))+1)),
IF(_xlpm.r=0,"",_xlpm.r)
))</f>
        <v/>
      </c>
      <c r="BY65" s="56" t="str" cm="1">
        <f t="array" ref="BY65">IF($C65="","",_xlfn.LET(
_xlpm.r,SUMPRODUCT((ISNUMBER(SEARCH($C65,$C$6:$C$55)))*(BY$6:BY$55)/(LEN($C$6:$C$55)-LEN(SUBSTITUTE($C$6:$C$55,CHAR(10),""))+1)),
IF(_xlpm.r=0,"",_xlpm.r)
))</f>
        <v/>
      </c>
      <c r="BZ65" s="56" t="str" cm="1">
        <f t="array" ref="BZ65">IF($C65="","",_xlfn.LET(
_xlpm.r,SUMPRODUCT((ISNUMBER(SEARCH($C65,$C$6:$C$55)))*(BZ$6:BZ$55)/(LEN($C$6:$C$55)-LEN(SUBSTITUTE($C$6:$C$55,CHAR(10),""))+1)),
IF(_xlpm.r=0,"",_xlpm.r)
))</f>
        <v/>
      </c>
      <c r="CA65" s="56" t="str" cm="1">
        <f t="array" ref="CA65">IF($C65="","",_xlfn.LET(
_xlpm.r,SUMPRODUCT((ISNUMBER(SEARCH($C65,$C$6:$C$55)))*(CA$6:CA$55)/(LEN($C$6:$C$55)-LEN(SUBSTITUTE($C$6:$C$55,CHAR(10),""))+1)),
IF(_xlpm.r=0,"",_xlpm.r)
))</f>
        <v/>
      </c>
      <c r="CB65" s="56" t="str" cm="1">
        <f t="array" ref="CB65">IF($C65="","",_xlfn.LET(
_xlpm.r,SUMPRODUCT((ISNUMBER(SEARCH($C65,$C$6:$C$55)))*(CB$6:CB$55)/(LEN($C$6:$C$55)-LEN(SUBSTITUTE($C$6:$C$55,CHAR(10),""))+1)),
IF(_xlpm.r=0,"",_xlpm.r)
))</f>
        <v/>
      </c>
      <c r="CC65" s="56" t="str" cm="1">
        <f t="array" ref="CC65">IF($C65="","",_xlfn.LET(
_xlpm.r,SUMPRODUCT((ISNUMBER(SEARCH($C65,$C$6:$C$55)))*(CC$6:CC$55)/(LEN($C$6:$C$55)-LEN(SUBSTITUTE($C$6:$C$55,CHAR(10),""))+1)),
IF(_xlpm.r=0,"",_xlpm.r)
))</f>
        <v/>
      </c>
      <c r="CD65" s="56" t="str" cm="1">
        <f t="array" ref="CD65">IF($C65="","",_xlfn.LET(
_xlpm.r,SUMPRODUCT((ISNUMBER(SEARCH($C65,$C$6:$C$55)))*(CD$6:CD$55)/(LEN($C$6:$C$55)-LEN(SUBSTITUTE($C$6:$C$55,CHAR(10),""))+1)),
IF(_xlpm.r=0,"",_xlpm.r)
))</f>
        <v/>
      </c>
      <c r="CE65" s="56" t="str" cm="1">
        <f t="array" ref="CE65">IF($C65="","",_xlfn.LET(
_xlpm.r,SUMPRODUCT((ISNUMBER(SEARCH($C65,$C$6:$C$55)))*(CE$6:CE$55)/(LEN($C$6:$C$55)-LEN(SUBSTITUTE($C$6:$C$55,CHAR(10),""))+1)),
IF(_xlpm.r=0,"",_xlpm.r)
))</f>
        <v/>
      </c>
      <c r="CF65" s="56" t="str" cm="1">
        <f t="array" ref="CF65">IF($C65="","",_xlfn.LET(
_xlpm.r,SUMPRODUCT((ISNUMBER(SEARCH($C65,$C$6:$C$55)))*(CF$6:CF$55)/(LEN($C$6:$C$55)-LEN(SUBSTITUTE($C$6:$C$55,CHAR(10),""))+1)),
IF(_xlpm.r=0,"",_xlpm.r)
))</f>
        <v/>
      </c>
      <c r="CG65" s="56" t="str" cm="1">
        <f t="array" ref="CG65">IF($C65="","",_xlfn.LET(
_xlpm.r,SUMPRODUCT((ISNUMBER(SEARCH($C65,$C$6:$C$55)))*(CG$6:CG$55)/(LEN($C$6:$C$55)-LEN(SUBSTITUTE($C$6:$C$55,CHAR(10),""))+1)),
IF(_xlpm.r=0,"",_xlpm.r)
))</f>
        <v/>
      </c>
      <c r="CH65" s="56" t="str" cm="1">
        <f t="array" ref="CH65">IF($C65="","",_xlfn.LET(
_xlpm.r,SUMPRODUCT((ISNUMBER(SEARCH($C65,$C$6:$C$55)))*(CH$6:CH$55)/(LEN($C$6:$C$55)-LEN(SUBSTITUTE($C$6:$C$55,CHAR(10),""))+1)),
IF(_xlpm.r=0,"",_xlpm.r)
))</f>
        <v/>
      </c>
      <c r="CI65" s="56" t="str" cm="1">
        <f t="array" ref="CI65">IF($C65="","",_xlfn.LET(
_xlpm.r,SUMPRODUCT((ISNUMBER(SEARCH($C65,$C$6:$C$55)))*(CI$6:CI$55)/(LEN($C$6:$C$55)-LEN(SUBSTITUTE($C$6:$C$55,CHAR(10),""))+1)),
IF(_xlpm.r=0,"",_xlpm.r)
))</f>
        <v/>
      </c>
      <c r="CJ65" s="56" t="str" cm="1">
        <f t="array" ref="CJ65">IF($C65="","",_xlfn.LET(
_xlpm.r,SUMPRODUCT((ISNUMBER(SEARCH($C65,$C$6:$C$55)))*(CJ$6:CJ$55)/(LEN($C$6:$C$55)-LEN(SUBSTITUTE($C$6:$C$55,CHAR(10),""))+1)),
IF(_xlpm.r=0,"",_xlpm.r)
))</f>
        <v/>
      </c>
      <c r="CK65" s="56" t="str" cm="1">
        <f t="array" ref="CK65">IF($C65="","",_xlfn.LET(
_xlpm.r,SUMPRODUCT((ISNUMBER(SEARCH($C65,$C$6:$C$55)))*(CK$6:CK$55)/(LEN($C$6:$C$55)-LEN(SUBSTITUTE($C$6:$C$55,CHAR(10),""))+1)),
IF(_xlpm.r=0,"",_xlpm.r)
))</f>
        <v/>
      </c>
      <c r="CL65" s="56" t="str" cm="1">
        <f t="array" ref="CL65">IF($C65="","",_xlfn.LET(
_xlpm.r,SUMPRODUCT((ISNUMBER(SEARCH($C65,$C$6:$C$55)))*(CL$6:CL$55)/(LEN($C$6:$C$55)-LEN(SUBSTITUTE($C$6:$C$55,CHAR(10),""))+1)),
IF(_xlpm.r=0,"",_xlpm.r)
))</f>
        <v/>
      </c>
      <c r="CM65" s="56" t="str" cm="1">
        <f t="array" ref="CM65">IF($C65="","",_xlfn.LET(
_xlpm.r,SUMPRODUCT((ISNUMBER(SEARCH($C65,$C$6:$C$55)))*(CM$6:CM$55)/(LEN($C$6:$C$55)-LEN(SUBSTITUTE($C$6:$C$55,CHAR(10),""))+1)),
IF(_xlpm.r=0,"",_xlpm.r)
))</f>
        <v/>
      </c>
      <c r="CN65" s="56" t="str" cm="1">
        <f t="array" ref="CN65">IF($C65="","",_xlfn.LET(
_xlpm.r,SUMPRODUCT((ISNUMBER(SEARCH($C65,$C$6:$C$55)))*(CN$6:CN$55)/(LEN($C$6:$C$55)-LEN(SUBSTITUTE($C$6:$C$55,CHAR(10),""))+1)),
IF(_xlpm.r=0,"",_xlpm.r)
))</f>
        <v/>
      </c>
      <c r="CO65" s="56" t="str" cm="1">
        <f t="array" ref="CO65">IF($C65="","",_xlfn.LET(
_xlpm.r,SUMPRODUCT((ISNUMBER(SEARCH($C65,$C$6:$C$55)))*(CO$6:CO$55)/(LEN($C$6:$C$55)-LEN(SUBSTITUTE($C$6:$C$55,CHAR(10),""))+1)),
IF(_xlpm.r=0,"",_xlpm.r)
))</f>
        <v/>
      </c>
      <c r="CP65" s="56" t="str" cm="1">
        <f t="array" ref="CP65">IF($C65="","",_xlfn.LET(
_xlpm.r,SUMPRODUCT((ISNUMBER(SEARCH($C65,$C$6:$C$55)))*(CP$6:CP$55)/(LEN($C$6:$C$55)-LEN(SUBSTITUTE($C$6:$C$55,CHAR(10),""))+1)),
IF(_xlpm.r=0,"",_xlpm.r)
))</f>
        <v/>
      </c>
      <c r="CQ65" s="56" t="str" cm="1">
        <f t="array" ref="CQ65">IF($C65="","",_xlfn.LET(
_xlpm.r,SUMPRODUCT((ISNUMBER(SEARCH($C65,$C$6:$C$55)))*(CQ$6:CQ$55)/(LEN($C$6:$C$55)-LEN(SUBSTITUTE($C$6:$C$55,CHAR(10),""))+1)),
IF(_xlpm.r=0,"",_xlpm.r)
))</f>
        <v/>
      </c>
      <c r="CR65" s="56" t="str" cm="1">
        <f t="array" ref="CR65">IF($C65="","",_xlfn.LET(
_xlpm.r,SUMPRODUCT((ISNUMBER(SEARCH($C65,$C$6:$C$55)))*(CR$6:CR$55)/(LEN($C$6:$C$55)-LEN(SUBSTITUTE($C$6:$C$55,CHAR(10),""))+1)),
IF(_xlpm.r=0,"",_xlpm.r)
))</f>
        <v/>
      </c>
      <c r="CS65" s="56" t="str" cm="1">
        <f t="array" ref="CS65">IF($C65="","",_xlfn.LET(
_xlpm.r,SUMPRODUCT((ISNUMBER(SEARCH($C65,$C$6:$C$55)))*(CS$6:CS$55)/(LEN($C$6:$C$55)-LEN(SUBSTITUTE($C$6:$C$55,CHAR(10),""))+1)),
IF(_xlpm.r=0,"",_xlpm.r)
))</f>
        <v/>
      </c>
      <c r="CT65" s="56" t="str" cm="1">
        <f t="array" ref="CT65">IF($C65="","",_xlfn.LET(
_xlpm.r,SUMPRODUCT((ISNUMBER(SEARCH($C65,$C$6:$C$55)))*(CT$6:CT$55)/(LEN($C$6:$C$55)-LEN(SUBSTITUTE($C$6:$C$55,CHAR(10),""))+1)),
IF(_xlpm.r=0,"",_xlpm.r)
))</f>
        <v/>
      </c>
      <c r="CU65" s="56" t="str" cm="1">
        <f t="array" ref="CU65">IF($C65="","",_xlfn.LET(
_xlpm.r,SUMPRODUCT((ISNUMBER(SEARCH($C65,$C$6:$C$55)))*(CU$6:CU$55)/(LEN($C$6:$C$55)-LEN(SUBSTITUTE($C$6:$C$55,CHAR(10),""))+1)),
IF(_xlpm.r=0,"",_xlpm.r)
))</f>
        <v/>
      </c>
      <c r="CV65" s="56" t="str" cm="1">
        <f t="array" ref="CV65">IF($C65="","",_xlfn.LET(
_xlpm.r,SUMPRODUCT((ISNUMBER(SEARCH($C65,$C$6:$C$55)))*(CV$6:CV$55)/(LEN($C$6:$C$55)-LEN(SUBSTITUTE($C$6:$C$55,CHAR(10),""))+1)),
IF(_xlpm.r=0,"",_xlpm.r)
))</f>
        <v/>
      </c>
      <c r="CW65" s="56" t="str" cm="1">
        <f t="array" ref="CW65">IF($C65="","",_xlfn.LET(
_xlpm.r,SUMPRODUCT((ISNUMBER(SEARCH($C65,$C$6:$C$55)))*(CW$6:CW$55)/(LEN($C$6:$C$55)-LEN(SUBSTITUTE($C$6:$C$55,CHAR(10),""))+1)),
IF(_xlpm.r=0,"",_xlpm.r)
))</f>
        <v/>
      </c>
      <c r="CX65" s="56" t="str" cm="1">
        <f t="array" ref="CX65">IF($C65="","",_xlfn.LET(
_xlpm.r,SUMPRODUCT((ISNUMBER(SEARCH($C65,$C$6:$C$55)))*(CX$6:CX$55)/(LEN($C$6:$C$55)-LEN(SUBSTITUTE($C$6:$C$55,CHAR(10),""))+1)),
IF(_xlpm.r=0,"",_xlpm.r)
))</f>
        <v/>
      </c>
      <c r="CY65" s="56" t="str" cm="1">
        <f t="array" ref="CY65">IF($C65="","",_xlfn.LET(
_xlpm.r,SUMPRODUCT((ISNUMBER(SEARCH($C65,$C$6:$C$55)))*(CY$6:CY$55)/(LEN($C$6:$C$55)-LEN(SUBSTITUTE($C$6:$C$55,CHAR(10),""))+1)),
IF(_xlpm.r=0,"",_xlpm.r)
))</f>
        <v/>
      </c>
      <c r="CZ65" s="56" t="str" cm="1">
        <f t="array" ref="CZ65">IF($C65="","",_xlfn.LET(
_xlpm.r,SUMPRODUCT((ISNUMBER(SEARCH($C65,$C$6:$C$55)))*(CZ$6:CZ$55)/(LEN($C$6:$C$55)-LEN(SUBSTITUTE($C$6:$C$55,CHAR(10),""))+1)),
IF(_xlpm.r=0,"",_xlpm.r)
))</f>
        <v/>
      </c>
      <c r="DA65" s="56" t="str" cm="1">
        <f t="array" ref="DA65">IF($C65="","",_xlfn.LET(
_xlpm.r,SUMPRODUCT((ISNUMBER(SEARCH($C65,$C$6:$C$55)))*(DA$6:DA$55)/(LEN($C$6:$C$55)-LEN(SUBSTITUTE($C$6:$C$55,CHAR(10),""))+1)),
IF(_xlpm.r=0,"",_xlpm.r)
))</f>
        <v/>
      </c>
      <c r="DB65" s="56" t="str" cm="1">
        <f t="array" ref="DB65">IF($C65="","",_xlfn.LET(
_xlpm.r,SUMPRODUCT((ISNUMBER(SEARCH($C65,$C$6:$C$55)))*(DB$6:DB$55)/(LEN($C$6:$C$55)-LEN(SUBSTITUTE($C$6:$C$55,CHAR(10),""))+1)),
IF(_xlpm.r=0,"",_xlpm.r)
))</f>
        <v/>
      </c>
      <c r="DC65" s="56" t="str" cm="1">
        <f t="array" ref="DC65">IF($C65="","",_xlfn.LET(
_xlpm.r,SUMPRODUCT((ISNUMBER(SEARCH($C65,$C$6:$C$55)))*(DC$6:DC$55)/(LEN($C$6:$C$55)-LEN(SUBSTITUTE($C$6:$C$55,CHAR(10),""))+1)),
IF(_xlpm.r=0,"",_xlpm.r)
))</f>
        <v/>
      </c>
      <c r="DD65" s="56" t="str" cm="1">
        <f t="array" ref="DD65">IF($C65="","",_xlfn.LET(
_xlpm.r,SUMPRODUCT((ISNUMBER(SEARCH($C65,$C$6:$C$55)))*(DD$6:DD$55)/(LEN($C$6:$C$55)-LEN(SUBSTITUTE($C$6:$C$55,CHAR(10),""))+1)),
IF(_xlpm.r=0,"",_xlpm.r)
))</f>
        <v/>
      </c>
    </row>
    <row r="66" spans="3:108" x14ac:dyDescent="0.3">
      <c r="C66" s="63"/>
      <c r="D66" s="64"/>
      <c r="E66" s="61" t="str" cm="1">
        <f t="array" ref="E66">IF($C66="","",_xlfn.LET(
_xlpm.r,SUMPRODUCT((ISNUMBER(SEARCH($C66,$C$6:$C$55)))*(E$6:E$55)/(LEN($C$6:$C$55)-LEN(SUBSTITUTE($C$6:$C$55,CHAR(10),""))+1)),
IF(_xlpm.r=0,"",_xlpm.r)
))</f>
        <v/>
      </c>
      <c r="F66" s="61" t="str" cm="1">
        <f t="array" ref="F66">IF($C66="","",_xlfn.LET(
_xlpm.r,SUMPRODUCT((ISNUMBER(SEARCH($C66,$C$6:$C$55)))*(F$6:F$55)/(LEN($C$6:$C$55)-LEN(SUBSTITUTE($C$6:$C$55,CHAR(10),""))+1)),
IF(_xlpm.r=0,"",_xlpm.r)
))</f>
        <v/>
      </c>
      <c r="G66" s="61" t="str" cm="1">
        <f t="array" ref="G66">IF($C66="","",_xlfn.LET(
_xlpm.r,SUMPRODUCT((ISNUMBER(SEARCH($C66,$C$6:$C$55)))*(G$6:G$55)/(LEN($C$6:$C$55)-LEN(SUBSTITUTE($C$6:$C$55,CHAR(10),""))+1)),
IF(_xlpm.r=0,"",_xlpm.r)
))</f>
        <v/>
      </c>
      <c r="H66" s="61" t="str" cm="1">
        <f t="array" ref="H66">IF($C66="","",_xlfn.LET(
_xlpm.r,SUMPRODUCT((ISNUMBER(SEARCH($C66,$C$6:$C$55)))*(H$6:H$55)/(LEN($C$6:$C$55)-LEN(SUBSTITUTE($C$6:$C$55,CHAR(10),""))+1)),
IF(_xlpm.r=0,"",_xlpm.r)
))</f>
        <v/>
      </c>
      <c r="I66" s="61" t="str" cm="1">
        <f t="array" ref="I66">IF($C66="","",_xlfn.LET(
_xlpm.r,SUMPRODUCT((ISNUMBER(SEARCH($C66,$C$6:$C$55)))*(I$6:I$55)/(LEN($C$6:$C$55)-LEN(SUBSTITUTE($C$6:$C$55,CHAR(10),""))+1)),
IF(_xlpm.r=0,"",_xlpm.r)
))</f>
        <v/>
      </c>
      <c r="J66" s="61" t="str" cm="1">
        <f t="array" ref="J66">IF($C66="","",_xlfn.LET(
_xlpm.r,SUMPRODUCT((ISNUMBER(SEARCH($C66,$C$6:$C$55)))*(J$6:J$55)/(LEN($C$6:$C$55)-LEN(SUBSTITUTE($C$6:$C$55,CHAR(10),""))+1)),
IF(_xlpm.r=0,"",_xlpm.r)
))</f>
        <v/>
      </c>
      <c r="K66" s="61" t="str" cm="1">
        <f t="array" ref="K66">IF($C66="","",_xlfn.LET(
_xlpm.r,SUMPRODUCT((ISNUMBER(SEARCH($C66,$C$6:$C$55)))*(K$6:K$55)/(LEN($C$6:$C$55)-LEN(SUBSTITUTE($C$6:$C$55,CHAR(10),""))+1)),
IF(_xlpm.r=0,"",_xlpm.r)
))</f>
        <v/>
      </c>
      <c r="L66" s="61" t="str" cm="1">
        <f t="array" ref="L66">IF($C66="","",_xlfn.LET(
_xlpm.r,SUMPRODUCT((ISNUMBER(SEARCH($C66,$C$6:$C$55)))*(L$6:L$55)/(LEN($C$6:$C$55)-LEN(SUBSTITUTE($C$6:$C$55,CHAR(10),""))+1)),
IF(_xlpm.r=0,"",_xlpm.r)
))</f>
        <v/>
      </c>
      <c r="M66" s="61" t="str" cm="1">
        <f t="array" ref="M66">IF($C66="","",_xlfn.LET(
_xlpm.r,SUMPRODUCT((ISNUMBER(SEARCH($C66,$C$6:$C$55)))*(M$6:M$55)/(LEN($C$6:$C$55)-LEN(SUBSTITUTE($C$6:$C$55,CHAR(10),""))+1)),
IF(_xlpm.r=0,"",_xlpm.r)
))</f>
        <v/>
      </c>
      <c r="N66" s="61" t="str" cm="1">
        <f t="array" ref="N66">IF($C66="","",_xlfn.LET(
_xlpm.r,SUMPRODUCT((ISNUMBER(SEARCH($C66,$C$6:$C$55)))*(N$6:N$55)/(LEN($C$6:$C$55)-LEN(SUBSTITUTE($C$6:$C$55,CHAR(10),""))+1)),
IF(_xlpm.r=0,"",_xlpm.r)
))</f>
        <v/>
      </c>
      <c r="O66" s="61" t="str" cm="1">
        <f t="array" ref="O66">IF($C66="","",_xlfn.LET(
_xlpm.r,SUMPRODUCT((ISNUMBER(SEARCH($C66,$C$6:$C$55)))*(O$6:O$55)/(LEN($C$6:$C$55)-LEN(SUBSTITUTE($C$6:$C$55,CHAR(10),""))+1)),
IF(_xlpm.r=0,"",_xlpm.r)
))</f>
        <v/>
      </c>
      <c r="P66" s="61" t="str" cm="1">
        <f t="array" ref="P66">IF($C66="","",_xlfn.LET(
_xlpm.r,SUMPRODUCT((ISNUMBER(SEARCH($C66,$C$6:$C$55)))*(P$6:P$55)/(LEN($C$6:$C$55)-LEN(SUBSTITUTE($C$6:$C$55,CHAR(10),""))+1)),
IF(_xlpm.r=0,"",_xlpm.r)
))</f>
        <v/>
      </c>
      <c r="Q66" s="61" t="str" cm="1">
        <f t="array" ref="Q66">IF($C66="","",_xlfn.LET(
_xlpm.r,SUMPRODUCT((ISNUMBER(SEARCH($C66,$C$6:$C$55)))*(Q$6:Q$55)/(LEN($C$6:$C$55)-LEN(SUBSTITUTE($C$6:$C$55,CHAR(10),""))+1)),
IF(_xlpm.r=0,"",_xlpm.r)
))</f>
        <v/>
      </c>
      <c r="R66" s="61" t="str" cm="1">
        <f t="array" ref="R66">IF($C66="","",_xlfn.LET(
_xlpm.r,SUMPRODUCT((ISNUMBER(SEARCH($C66,$C$6:$C$55)))*(R$6:R$55)/(LEN($C$6:$C$55)-LEN(SUBSTITUTE($C$6:$C$55,CHAR(10),""))+1)),
IF(_xlpm.r=0,"",_xlpm.r)
))</f>
        <v/>
      </c>
      <c r="S66" s="61" t="str" cm="1">
        <f t="array" ref="S66">IF($C66="","",_xlfn.LET(
_xlpm.r,SUMPRODUCT((ISNUMBER(SEARCH($C66,$C$6:$C$55)))*(S$6:S$55)/(LEN($C$6:$C$55)-LEN(SUBSTITUTE($C$6:$C$55,CHAR(10),""))+1)),
IF(_xlpm.r=0,"",_xlpm.r)
))</f>
        <v/>
      </c>
      <c r="T66" s="61" t="str" cm="1">
        <f t="array" ref="T66">IF($C66="","",_xlfn.LET(
_xlpm.r,SUMPRODUCT((ISNUMBER(SEARCH($C66,$C$6:$C$55)))*(T$6:T$55)/(LEN($C$6:$C$55)-LEN(SUBSTITUTE($C$6:$C$55,CHAR(10),""))+1)),
IF(_xlpm.r=0,"",_xlpm.r)
))</f>
        <v/>
      </c>
      <c r="U66" s="61" t="str" cm="1">
        <f t="array" ref="U66">IF($C66="","",_xlfn.LET(
_xlpm.r,SUMPRODUCT((ISNUMBER(SEARCH($C66,$C$6:$C$55)))*(U$6:U$55)/(LEN($C$6:$C$55)-LEN(SUBSTITUTE($C$6:$C$55,CHAR(10),""))+1)),
IF(_xlpm.r=0,"",_xlpm.r)
))</f>
        <v/>
      </c>
      <c r="V66" s="61" t="str" cm="1">
        <f t="array" ref="V66">IF($C66="","",_xlfn.LET(
_xlpm.r,SUMPRODUCT((ISNUMBER(SEARCH($C66,$C$6:$C$55)))*(V$6:V$55)/(LEN($C$6:$C$55)-LEN(SUBSTITUTE($C$6:$C$55,CHAR(10),""))+1)),
IF(_xlpm.r=0,"",_xlpm.r)
))</f>
        <v/>
      </c>
      <c r="W66" s="61" t="str" cm="1">
        <f t="array" ref="W66">IF($C66="","",_xlfn.LET(
_xlpm.r,SUMPRODUCT((ISNUMBER(SEARCH($C66,$C$6:$C$55)))*(W$6:W$55)/(LEN($C$6:$C$55)-LEN(SUBSTITUTE($C$6:$C$55,CHAR(10),""))+1)),
IF(_xlpm.r=0,"",_xlpm.r)
))</f>
        <v/>
      </c>
      <c r="X66" s="61" t="str" cm="1">
        <f t="array" ref="X66">IF($C66="","",_xlfn.LET(
_xlpm.r,SUMPRODUCT((ISNUMBER(SEARCH($C66,$C$6:$C$55)))*(X$6:X$55)/(LEN($C$6:$C$55)-LEN(SUBSTITUTE($C$6:$C$55,CHAR(10),""))+1)),
IF(_xlpm.r=0,"",_xlpm.r)
))</f>
        <v/>
      </c>
      <c r="Y66" s="61" t="str" cm="1">
        <f t="array" ref="Y66">IF($C66="","",_xlfn.LET(
_xlpm.r,SUMPRODUCT((ISNUMBER(SEARCH($C66,$C$6:$C$55)))*(Y$6:Y$55)/(LEN($C$6:$C$55)-LEN(SUBSTITUTE($C$6:$C$55,CHAR(10),""))+1)),
IF(_xlpm.r=0,"",_xlpm.r)
))</f>
        <v/>
      </c>
      <c r="Z66" s="61" t="str" cm="1">
        <f t="array" ref="Z66">IF($C66="","",_xlfn.LET(
_xlpm.r,SUMPRODUCT((ISNUMBER(SEARCH($C66,$C$6:$C$55)))*(Z$6:Z$55)/(LEN($C$6:$C$55)-LEN(SUBSTITUTE($C$6:$C$55,CHAR(10),""))+1)),
IF(_xlpm.r=0,"",_xlpm.r)
))</f>
        <v/>
      </c>
      <c r="AA66" s="61" t="str" cm="1">
        <f t="array" ref="AA66">IF($C66="","",_xlfn.LET(
_xlpm.r,SUMPRODUCT((ISNUMBER(SEARCH($C66,$C$6:$C$55)))*(AA$6:AA$55)/(LEN($C$6:$C$55)-LEN(SUBSTITUTE($C$6:$C$55,CHAR(10),""))+1)),
IF(_xlpm.r=0,"",_xlpm.r)
))</f>
        <v/>
      </c>
      <c r="AB66" s="61" t="str" cm="1">
        <f t="array" ref="AB66">IF($C66="","",_xlfn.LET(
_xlpm.r,SUMPRODUCT((ISNUMBER(SEARCH($C66,$C$6:$C$55)))*(AB$6:AB$55)/(LEN($C$6:$C$55)-LEN(SUBSTITUTE($C$6:$C$55,CHAR(10),""))+1)),
IF(_xlpm.r=0,"",_xlpm.r)
))</f>
        <v/>
      </c>
      <c r="AC66" s="61" t="str" cm="1">
        <f t="array" ref="AC66">IF($C66="","",_xlfn.LET(
_xlpm.r,SUMPRODUCT((ISNUMBER(SEARCH($C66,$C$6:$C$55)))*(AC$6:AC$55)/(LEN($C$6:$C$55)-LEN(SUBSTITUTE($C$6:$C$55,CHAR(10),""))+1)),
IF(_xlpm.r=0,"",_xlpm.r)
))</f>
        <v/>
      </c>
      <c r="AD66" s="61" t="str" cm="1">
        <f t="array" ref="AD66">IF($C66="","",_xlfn.LET(
_xlpm.r,SUMPRODUCT((ISNUMBER(SEARCH($C66,$C$6:$C$55)))*(AD$6:AD$55)/(LEN($C$6:$C$55)-LEN(SUBSTITUTE($C$6:$C$55,CHAR(10),""))+1)),
IF(_xlpm.r=0,"",_xlpm.r)
))</f>
        <v/>
      </c>
      <c r="AE66" s="61" t="str" cm="1">
        <f t="array" ref="AE66">IF($C66="","",_xlfn.LET(
_xlpm.r,SUMPRODUCT((ISNUMBER(SEARCH($C66,$C$6:$C$55)))*(AE$6:AE$55)/(LEN($C$6:$C$55)-LEN(SUBSTITUTE($C$6:$C$55,CHAR(10),""))+1)),
IF(_xlpm.r=0,"",_xlpm.r)
))</f>
        <v/>
      </c>
      <c r="AF66" s="61" t="str" cm="1">
        <f t="array" ref="AF66">IF($C66="","",_xlfn.LET(
_xlpm.r,SUMPRODUCT((ISNUMBER(SEARCH($C66,$C$6:$C$55)))*(AF$6:AF$55)/(LEN($C$6:$C$55)-LEN(SUBSTITUTE($C$6:$C$55,CHAR(10),""))+1)),
IF(_xlpm.r=0,"",_xlpm.r)
))</f>
        <v/>
      </c>
      <c r="AG66" s="61" t="str" cm="1">
        <f t="array" ref="AG66">IF($C66="","",_xlfn.LET(
_xlpm.r,SUMPRODUCT((ISNUMBER(SEARCH($C66,$C$6:$C$55)))*(AG$6:AG$55)/(LEN($C$6:$C$55)-LEN(SUBSTITUTE($C$6:$C$55,CHAR(10),""))+1)),
IF(_xlpm.r=0,"",_xlpm.r)
))</f>
        <v/>
      </c>
      <c r="AH66" s="61" t="str" cm="1">
        <f t="array" ref="AH66">IF($C66="","",_xlfn.LET(
_xlpm.r,SUMPRODUCT((ISNUMBER(SEARCH($C66,$C$6:$C$55)))*(AH$6:AH$55)/(LEN($C$6:$C$55)-LEN(SUBSTITUTE($C$6:$C$55,CHAR(10),""))+1)),
IF(_xlpm.r=0,"",_xlpm.r)
))</f>
        <v/>
      </c>
      <c r="AI66" s="61" t="str" cm="1">
        <f t="array" ref="AI66">IF($C66="","",_xlfn.LET(
_xlpm.r,SUMPRODUCT((ISNUMBER(SEARCH($C66,$C$6:$C$55)))*(AI$6:AI$55)/(LEN($C$6:$C$55)-LEN(SUBSTITUTE($C$6:$C$55,CHAR(10),""))+1)),
IF(_xlpm.r=0,"",_xlpm.r)
))</f>
        <v/>
      </c>
      <c r="AJ66" s="61" t="str" cm="1">
        <f t="array" ref="AJ66">IF($C66="","",_xlfn.LET(
_xlpm.r,SUMPRODUCT((ISNUMBER(SEARCH($C66,$C$6:$C$55)))*(AJ$6:AJ$55)/(LEN($C$6:$C$55)-LEN(SUBSTITUTE($C$6:$C$55,CHAR(10),""))+1)),
IF(_xlpm.r=0,"",_xlpm.r)
))</f>
        <v/>
      </c>
      <c r="AK66" s="61" t="str" cm="1">
        <f t="array" ref="AK66">IF($C66="","",_xlfn.LET(
_xlpm.r,SUMPRODUCT((ISNUMBER(SEARCH($C66,$C$6:$C$55)))*(AK$6:AK$55)/(LEN($C$6:$C$55)-LEN(SUBSTITUTE($C$6:$C$55,CHAR(10),""))+1)),
IF(_xlpm.r=0,"",_xlpm.r)
))</f>
        <v/>
      </c>
      <c r="AL66" s="61" t="str" cm="1">
        <f t="array" ref="AL66">IF($C66="","",_xlfn.LET(
_xlpm.r,SUMPRODUCT((ISNUMBER(SEARCH($C66,$C$6:$C$55)))*(AL$6:AL$55)/(LEN($C$6:$C$55)-LEN(SUBSTITUTE($C$6:$C$55,CHAR(10),""))+1)),
IF(_xlpm.r=0,"",_xlpm.r)
))</f>
        <v/>
      </c>
      <c r="AM66" s="61" t="str" cm="1">
        <f t="array" ref="AM66">IF($C66="","",_xlfn.LET(
_xlpm.r,SUMPRODUCT((ISNUMBER(SEARCH($C66,$C$6:$C$55)))*(AM$6:AM$55)/(LEN($C$6:$C$55)-LEN(SUBSTITUTE($C$6:$C$55,CHAR(10),""))+1)),
IF(_xlpm.r=0,"",_xlpm.r)
))</f>
        <v/>
      </c>
      <c r="AN66" s="61" t="str" cm="1">
        <f t="array" ref="AN66">IF($C66="","",_xlfn.LET(
_xlpm.r,SUMPRODUCT((ISNUMBER(SEARCH($C66,$C$6:$C$55)))*(AN$6:AN$55)/(LEN($C$6:$C$55)-LEN(SUBSTITUTE($C$6:$C$55,CHAR(10),""))+1)),
IF(_xlpm.r=0,"",_xlpm.r)
))</f>
        <v/>
      </c>
      <c r="AO66" s="61" t="str" cm="1">
        <f t="array" ref="AO66">IF($C66="","",_xlfn.LET(
_xlpm.r,SUMPRODUCT((ISNUMBER(SEARCH($C66,$C$6:$C$55)))*(AO$6:AO$55)/(LEN($C$6:$C$55)-LEN(SUBSTITUTE($C$6:$C$55,CHAR(10),""))+1)),
IF(_xlpm.r=0,"",_xlpm.r)
))</f>
        <v/>
      </c>
      <c r="AP66" s="61" t="str" cm="1">
        <f t="array" ref="AP66">IF($C66="","",_xlfn.LET(
_xlpm.r,SUMPRODUCT((ISNUMBER(SEARCH($C66,$C$6:$C$55)))*(AP$6:AP$55)/(LEN($C$6:$C$55)-LEN(SUBSTITUTE($C$6:$C$55,CHAR(10),""))+1)),
IF(_xlpm.r=0,"",_xlpm.r)
))</f>
        <v/>
      </c>
      <c r="AQ66" s="61" t="str" cm="1">
        <f t="array" ref="AQ66">IF($C66="","",_xlfn.LET(
_xlpm.r,SUMPRODUCT((ISNUMBER(SEARCH($C66,$C$6:$C$55)))*(AQ$6:AQ$55)/(LEN($C$6:$C$55)-LEN(SUBSTITUTE($C$6:$C$55,CHAR(10),""))+1)),
IF(_xlpm.r=0,"",_xlpm.r)
))</f>
        <v/>
      </c>
      <c r="AR66" s="61" t="str" cm="1">
        <f t="array" ref="AR66">IF($C66="","",_xlfn.LET(
_xlpm.r,SUMPRODUCT((ISNUMBER(SEARCH($C66,$C$6:$C$55)))*(AR$6:AR$55)/(LEN($C$6:$C$55)-LEN(SUBSTITUTE($C$6:$C$55,CHAR(10),""))+1)),
IF(_xlpm.r=0,"",_xlpm.r)
))</f>
        <v/>
      </c>
      <c r="AS66" s="61" t="str" cm="1">
        <f t="array" ref="AS66">IF($C66="","",_xlfn.LET(
_xlpm.r,SUMPRODUCT((ISNUMBER(SEARCH($C66,$C$6:$C$55)))*(AS$6:AS$55)/(LEN($C$6:$C$55)-LEN(SUBSTITUTE($C$6:$C$55,CHAR(10),""))+1)),
IF(_xlpm.r=0,"",_xlpm.r)
))</f>
        <v/>
      </c>
      <c r="AT66" s="61" t="str" cm="1">
        <f t="array" ref="AT66">IF($C66="","",_xlfn.LET(
_xlpm.r,SUMPRODUCT((ISNUMBER(SEARCH($C66,$C$6:$C$55)))*(AT$6:AT$55)/(LEN($C$6:$C$55)-LEN(SUBSTITUTE($C$6:$C$55,CHAR(10),""))+1)),
IF(_xlpm.r=0,"",_xlpm.r)
))</f>
        <v/>
      </c>
      <c r="AU66" s="61" t="str" cm="1">
        <f t="array" ref="AU66">IF($C66="","",_xlfn.LET(
_xlpm.r,SUMPRODUCT((ISNUMBER(SEARCH($C66,$C$6:$C$55)))*(AU$6:AU$55)/(LEN($C$6:$C$55)-LEN(SUBSTITUTE($C$6:$C$55,CHAR(10),""))+1)),
IF(_xlpm.r=0,"",_xlpm.r)
))</f>
        <v/>
      </c>
      <c r="AV66" s="61" t="str" cm="1">
        <f t="array" ref="AV66">IF($C66="","",_xlfn.LET(
_xlpm.r,SUMPRODUCT((ISNUMBER(SEARCH($C66,$C$6:$C$55)))*(AV$6:AV$55)/(LEN($C$6:$C$55)-LEN(SUBSTITUTE($C$6:$C$55,CHAR(10),""))+1)),
IF(_xlpm.r=0,"",_xlpm.r)
))</f>
        <v/>
      </c>
      <c r="AW66" s="61" t="str" cm="1">
        <f t="array" ref="AW66">IF($C66="","",_xlfn.LET(
_xlpm.r,SUMPRODUCT((ISNUMBER(SEARCH($C66,$C$6:$C$55)))*(AW$6:AW$55)/(LEN($C$6:$C$55)-LEN(SUBSTITUTE($C$6:$C$55,CHAR(10),""))+1)),
IF(_xlpm.r=0,"",_xlpm.r)
))</f>
        <v/>
      </c>
      <c r="AX66" s="61" t="str" cm="1">
        <f t="array" ref="AX66">IF($C66="","",_xlfn.LET(
_xlpm.r,SUMPRODUCT((ISNUMBER(SEARCH($C66,$C$6:$C$55)))*(AX$6:AX$55)/(LEN($C$6:$C$55)-LEN(SUBSTITUTE($C$6:$C$55,CHAR(10),""))+1)),
IF(_xlpm.r=0,"",_xlpm.r)
))</f>
        <v/>
      </c>
      <c r="AY66" s="61" t="str" cm="1">
        <f t="array" ref="AY66">IF($C66="","",_xlfn.LET(
_xlpm.r,SUMPRODUCT((ISNUMBER(SEARCH($C66,$C$6:$C$55)))*(AY$6:AY$55)/(LEN($C$6:$C$55)-LEN(SUBSTITUTE($C$6:$C$55,CHAR(10),""))+1)),
IF(_xlpm.r=0,"",_xlpm.r)
))</f>
        <v/>
      </c>
      <c r="AZ66" s="61" t="str" cm="1">
        <f t="array" ref="AZ66">IF($C66="","",_xlfn.LET(
_xlpm.r,SUMPRODUCT((ISNUMBER(SEARCH($C66,$C$6:$C$55)))*(AZ$6:AZ$55)/(LEN($C$6:$C$55)-LEN(SUBSTITUTE($C$6:$C$55,CHAR(10),""))+1)),
IF(_xlpm.r=0,"",_xlpm.r)
))</f>
        <v/>
      </c>
      <c r="BA66" s="61" t="str" cm="1">
        <f t="array" ref="BA66">IF($C66="","",_xlfn.LET(
_xlpm.r,SUMPRODUCT((ISNUMBER(SEARCH($C66,$C$6:$C$55)))*(BA$6:BA$55)/(LEN($C$6:$C$55)-LEN(SUBSTITUTE($C$6:$C$55,CHAR(10),""))+1)),
IF(_xlpm.r=0,"",_xlpm.r)
))</f>
        <v/>
      </c>
      <c r="BB66" s="61" t="str" cm="1">
        <f t="array" ref="BB66">IF($C66="","",_xlfn.LET(
_xlpm.r,SUMPRODUCT((ISNUMBER(SEARCH($C66,$C$6:$C$55)))*(BB$6:BB$55)/(LEN($C$6:$C$55)-LEN(SUBSTITUTE($C$6:$C$55,CHAR(10),""))+1)),
IF(_xlpm.r=0,"",_xlpm.r)
))</f>
        <v/>
      </c>
      <c r="BC66" s="61" t="str" cm="1">
        <f t="array" ref="BC66">IF($C66="","",_xlfn.LET(
_xlpm.r,SUMPRODUCT((ISNUMBER(SEARCH($C66,$C$6:$C$55)))*(BC$6:BC$55)/(LEN($C$6:$C$55)-LEN(SUBSTITUTE($C$6:$C$55,CHAR(10),""))+1)),
IF(_xlpm.r=0,"",_xlpm.r)
))</f>
        <v/>
      </c>
      <c r="BD66" s="61" t="str" cm="1">
        <f t="array" ref="BD66">IF($C66="","",_xlfn.LET(
_xlpm.r,SUMPRODUCT((ISNUMBER(SEARCH($C66,$C$6:$C$55)))*(BD$6:BD$55)/(LEN($C$6:$C$55)-LEN(SUBSTITUTE($C$6:$C$55,CHAR(10),""))+1)),
IF(_xlpm.r=0,"",_xlpm.r)
))</f>
        <v/>
      </c>
      <c r="BE66" s="61" t="str" cm="1">
        <f t="array" ref="BE66">IF($C66="","",_xlfn.LET(
_xlpm.r,SUMPRODUCT((ISNUMBER(SEARCH($C66,$C$6:$C$55)))*(BE$6:BE$55)/(LEN($C$6:$C$55)-LEN(SUBSTITUTE($C$6:$C$55,CHAR(10),""))+1)),
IF(_xlpm.r=0,"",_xlpm.r)
))</f>
        <v/>
      </c>
      <c r="BF66" s="61" t="str" cm="1">
        <f t="array" ref="BF66">IF($C66="","",_xlfn.LET(
_xlpm.r,SUMPRODUCT((ISNUMBER(SEARCH($C66,$C$6:$C$55)))*(BF$6:BF$55)/(LEN($C$6:$C$55)-LEN(SUBSTITUTE($C$6:$C$55,CHAR(10),""))+1)),
IF(_xlpm.r=0,"",_xlpm.r)
))</f>
        <v/>
      </c>
      <c r="BG66" s="61" t="str" cm="1">
        <f t="array" ref="BG66">IF($C66="","",_xlfn.LET(
_xlpm.r,SUMPRODUCT((ISNUMBER(SEARCH($C66,$C$6:$C$55)))*(BG$6:BG$55)/(LEN($C$6:$C$55)-LEN(SUBSTITUTE($C$6:$C$55,CHAR(10),""))+1)),
IF(_xlpm.r=0,"",_xlpm.r)
))</f>
        <v/>
      </c>
      <c r="BH66" s="61" t="str" cm="1">
        <f t="array" ref="BH66">IF($C66="","",_xlfn.LET(
_xlpm.r,SUMPRODUCT((ISNUMBER(SEARCH($C66,$C$6:$C$55)))*(BH$6:BH$55)/(LEN($C$6:$C$55)-LEN(SUBSTITUTE($C$6:$C$55,CHAR(10),""))+1)),
IF(_xlpm.r=0,"",_xlpm.r)
))</f>
        <v/>
      </c>
      <c r="BI66" s="61" t="str" cm="1">
        <f t="array" ref="BI66">IF($C66="","",_xlfn.LET(
_xlpm.r,SUMPRODUCT((ISNUMBER(SEARCH($C66,$C$6:$C$55)))*(BI$6:BI$55)/(LEN($C$6:$C$55)-LEN(SUBSTITUTE($C$6:$C$55,CHAR(10),""))+1)),
IF(_xlpm.r=0,"",_xlpm.r)
))</f>
        <v/>
      </c>
      <c r="BJ66" s="61" t="str" cm="1">
        <f t="array" ref="BJ66">IF($C66="","",_xlfn.LET(
_xlpm.r,SUMPRODUCT((ISNUMBER(SEARCH($C66,$C$6:$C$55)))*(BJ$6:BJ$55)/(LEN($C$6:$C$55)-LEN(SUBSTITUTE($C$6:$C$55,CHAR(10),""))+1)),
IF(_xlpm.r=0,"",_xlpm.r)
))</f>
        <v/>
      </c>
      <c r="BK66" s="61" t="str" cm="1">
        <f t="array" ref="BK66">IF($C66="","",_xlfn.LET(
_xlpm.r,SUMPRODUCT((ISNUMBER(SEARCH($C66,$C$6:$C$55)))*(BK$6:BK$55)/(LEN($C$6:$C$55)-LEN(SUBSTITUTE($C$6:$C$55,CHAR(10),""))+1)),
IF(_xlpm.r=0,"",_xlpm.r)
))</f>
        <v/>
      </c>
      <c r="BL66" s="61" t="str" cm="1">
        <f t="array" ref="BL66">IF($C66="","",_xlfn.LET(
_xlpm.r,SUMPRODUCT((ISNUMBER(SEARCH($C66,$C$6:$C$55)))*(BL$6:BL$55)/(LEN($C$6:$C$55)-LEN(SUBSTITUTE($C$6:$C$55,CHAR(10),""))+1)),
IF(_xlpm.r=0,"",_xlpm.r)
))</f>
        <v/>
      </c>
      <c r="BM66" s="61" t="str" cm="1">
        <f t="array" ref="BM66">IF($C66="","",_xlfn.LET(
_xlpm.r,SUMPRODUCT((ISNUMBER(SEARCH($C66,$C$6:$C$55)))*(BM$6:BM$55)/(LEN($C$6:$C$55)-LEN(SUBSTITUTE($C$6:$C$55,CHAR(10),""))+1)),
IF(_xlpm.r=0,"",_xlpm.r)
))</f>
        <v/>
      </c>
      <c r="BN66" s="61" t="str" cm="1">
        <f t="array" ref="BN66">IF($C66="","",_xlfn.LET(
_xlpm.r,SUMPRODUCT((ISNUMBER(SEARCH($C66,$C$6:$C$55)))*(BN$6:BN$55)/(LEN($C$6:$C$55)-LEN(SUBSTITUTE($C$6:$C$55,CHAR(10),""))+1)),
IF(_xlpm.r=0,"",_xlpm.r)
))</f>
        <v/>
      </c>
      <c r="BO66" s="61" t="str" cm="1">
        <f t="array" ref="BO66">IF($C66="","",_xlfn.LET(
_xlpm.r,SUMPRODUCT((ISNUMBER(SEARCH($C66,$C$6:$C$55)))*(BO$6:BO$55)/(LEN($C$6:$C$55)-LEN(SUBSTITUTE($C$6:$C$55,CHAR(10),""))+1)),
IF(_xlpm.r=0,"",_xlpm.r)
))</f>
        <v/>
      </c>
      <c r="BP66" s="61" t="str" cm="1">
        <f t="array" ref="BP66">IF($C66="","",_xlfn.LET(
_xlpm.r,SUMPRODUCT((ISNUMBER(SEARCH($C66,$C$6:$C$55)))*(BP$6:BP$55)/(LEN($C$6:$C$55)-LEN(SUBSTITUTE($C$6:$C$55,CHAR(10),""))+1)),
IF(_xlpm.r=0,"",_xlpm.r)
))</f>
        <v/>
      </c>
      <c r="BQ66" s="61" t="str" cm="1">
        <f t="array" ref="BQ66">IF($C66="","",_xlfn.LET(
_xlpm.r,SUMPRODUCT((ISNUMBER(SEARCH($C66,$C$6:$C$55)))*(BQ$6:BQ$55)/(LEN($C$6:$C$55)-LEN(SUBSTITUTE($C$6:$C$55,CHAR(10),""))+1)),
IF(_xlpm.r=0,"",_xlpm.r)
))</f>
        <v/>
      </c>
      <c r="BR66" s="61" t="str" cm="1">
        <f t="array" ref="BR66">IF($C66="","",_xlfn.LET(
_xlpm.r,SUMPRODUCT((ISNUMBER(SEARCH($C66,$C$6:$C$55)))*(BR$6:BR$55)/(LEN($C$6:$C$55)-LEN(SUBSTITUTE($C$6:$C$55,CHAR(10),""))+1)),
IF(_xlpm.r=0,"",_xlpm.r)
))</f>
        <v/>
      </c>
      <c r="BS66" s="61" t="str" cm="1">
        <f t="array" ref="BS66">IF($C66="","",_xlfn.LET(
_xlpm.r,SUMPRODUCT((ISNUMBER(SEARCH($C66,$C$6:$C$55)))*(BS$6:BS$55)/(LEN($C$6:$C$55)-LEN(SUBSTITUTE($C$6:$C$55,CHAR(10),""))+1)),
IF(_xlpm.r=0,"",_xlpm.r)
))</f>
        <v/>
      </c>
      <c r="BT66" s="61" t="str" cm="1">
        <f t="array" ref="BT66">IF($C66="","",_xlfn.LET(
_xlpm.r,SUMPRODUCT((ISNUMBER(SEARCH($C66,$C$6:$C$55)))*(BT$6:BT$55)/(LEN($C$6:$C$55)-LEN(SUBSTITUTE($C$6:$C$55,CHAR(10),""))+1)),
IF(_xlpm.r=0,"",_xlpm.r)
))</f>
        <v/>
      </c>
      <c r="BU66" s="61" t="str" cm="1">
        <f t="array" ref="BU66">IF($C66="","",_xlfn.LET(
_xlpm.r,SUMPRODUCT((ISNUMBER(SEARCH($C66,$C$6:$C$55)))*(BU$6:BU$55)/(LEN($C$6:$C$55)-LEN(SUBSTITUTE($C$6:$C$55,CHAR(10),""))+1)),
IF(_xlpm.r=0,"",_xlpm.r)
))</f>
        <v/>
      </c>
      <c r="BV66" s="61" t="str" cm="1">
        <f t="array" ref="BV66">IF($C66="","",_xlfn.LET(
_xlpm.r,SUMPRODUCT((ISNUMBER(SEARCH($C66,$C$6:$C$55)))*(BV$6:BV$55)/(LEN($C$6:$C$55)-LEN(SUBSTITUTE($C$6:$C$55,CHAR(10),""))+1)),
IF(_xlpm.r=0,"",_xlpm.r)
))</f>
        <v/>
      </c>
      <c r="BW66" s="61" t="str" cm="1">
        <f t="array" ref="BW66">IF($C66="","",_xlfn.LET(
_xlpm.r,SUMPRODUCT((ISNUMBER(SEARCH($C66,$C$6:$C$55)))*(BW$6:BW$55)/(LEN($C$6:$C$55)-LEN(SUBSTITUTE($C$6:$C$55,CHAR(10),""))+1)),
IF(_xlpm.r=0,"",_xlpm.r)
))</f>
        <v/>
      </c>
      <c r="BX66" s="61" t="str" cm="1">
        <f t="array" ref="BX66">IF($C66="","",_xlfn.LET(
_xlpm.r,SUMPRODUCT((ISNUMBER(SEARCH($C66,$C$6:$C$55)))*(BX$6:BX$55)/(LEN($C$6:$C$55)-LEN(SUBSTITUTE($C$6:$C$55,CHAR(10),""))+1)),
IF(_xlpm.r=0,"",_xlpm.r)
))</f>
        <v/>
      </c>
      <c r="BY66" s="61" t="str" cm="1">
        <f t="array" ref="BY66">IF($C66="","",_xlfn.LET(
_xlpm.r,SUMPRODUCT((ISNUMBER(SEARCH($C66,$C$6:$C$55)))*(BY$6:BY$55)/(LEN($C$6:$C$55)-LEN(SUBSTITUTE($C$6:$C$55,CHAR(10),""))+1)),
IF(_xlpm.r=0,"",_xlpm.r)
))</f>
        <v/>
      </c>
      <c r="BZ66" s="61" t="str" cm="1">
        <f t="array" ref="BZ66">IF($C66="","",_xlfn.LET(
_xlpm.r,SUMPRODUCT((ISNUMBER(SEARCH($C66,$C$6:$C$55)))*(BZ$6:BZ$55)/(LEN($C$6:$C$55)-LEN(SUBSTITUTE($C$6:$C$55,CHAR(10),""))+1)),
IF(_xlpm.r=0,"",_xlpm.r)
))</f>
        <v/>
      </c>
      <c r="CA66" s="61" t="str" cm="1">
        <f t="array" ref="CA66">IF($C66="","",_xlfn.LET(
_xlpm.r,SUMPRODUCT((ISNUMBER(SEARCH($C66,$C$6:$C$55)))*(CA$6:CA$55)/(LEN($C$6:$C$55)-LEN(SUBSTITUTE($C$6:$C$55,CHAR(10),""))+1)),
IF(_xlpm.r=0,"",_xlpm.r)
))</f>
        <v/>
      </c>
      <c r="CB66" s="61" t="str" cm="1">
        <f t="array" ref="CB66">IF($C66="","",_xlfn.LET(
_xlpm.r,SUMPRODUCT((ISNUMBER(SEARCH($C66,$C$6:$C$55)))*(CB$6:CB$55)/(LEN($C$6:$C$55)-LEN(SUBSTITUTE($C$6:$C$55,CHAR(10),""))+1)),
IF(_xlpm.r=0,"",_xlpm.r)
))</f>
        <v/>
      </c>
      <c r="CC66" s="61" t="str" cm="1">
        <f t="array" ref="CC66">IF($C66="","",_xlfn.LET(
_xlpm.r,SUMPRODUCT((ISNUMBER(SEARCH($C66,$C$6:$C$55)))*(CC$6:CC$55)/(LEN($C$6:$C$55)-LEN(SUBSTITUTE($C$6:$C$55,CHAR(10),""))+1)),
IF(_xlpm.r=0,"",_xlpm.r)
))</f>
        <v/>
      </c>
      <c r="CD66" s="61" t="str" cm="1">
        <f t="array" ref="CD66">IF($C66="","",_xlfn.LET(
_xlpm.r,SUMPRODUCT((ISNUMBER(SEARCH($C66,$C$6:$C$55)))*(CD$6:CD$55)/(LEN($C$6:$C$55)-LEN(SUBSTITUTE($C$6:$C$55,CHAR(10),""))+1)),
IF(_xlpm.r=0,"",_xlpm.r)
))</f>
        <v/>
      </c>
      <c r="CE66" s="61" t="str" cm="1">
        <f t="array" ref="CE66">IF($C66="","",_xlfn.LET(
_xlpm.r,SUMPRODUCT((ISNUMBER(SEARCH($C66,$C$6:$C$55)))*(CE$6:CE$55)/(LEN($C$6:$C$55)-LEN(SUBSTITUTE($C$6:$C$55,CHAR(10),""))+1)),
IF(_xlpm.r=0,"",_xlpm.r)
))</f>
        <v/>
      </c>
      <c r="CF66" s="61" t="str" cm="1">
        <f t="array" ref="CF66">IF($C66="","",_xlfn.LET(
_xlpm.r,SUMPRODUCT((ISNUMBER(SEARCH($C66,$C$6:$C$55)))*(CF$6:CF$55)/(LEN($C$6:$C$55)-LEN(SUBSTITUTE($C$6:$C$55,CHAR(10),""))+1)),
IF(_xlpm.r=0,"",_xlpm.r)
))</f>
        <v/>
      </c>
      <c r="CG66" s="61" t="str" cm="1">
        <f t="array" ref="CG66">IF($C66="","",_xlfn.LET(
_xlpm.r,SUMPRODUCT((ISNUMBER(SEARCH($C66,$C$6:$C$55)))*(CG$6:CG$55)/(LEN($C$6:$C$55)-LEN(SUBSTITUTE($C$6:$C$55,CHAR(10),""))+1)),
IF(_xlpm.r=0,"",_xlpm.r)
))</f>
        <v/>
      </c>
      <c r="CH66" s="61" t="str" cm="1">
        <f t="array" ref="CH66">IF($C66="","",_xlfn.LET(
_xlpm.r,SUMPRODUCT((ISNUMBER(SEARCH($C66,$C$6:$C$55)))*(CH$6:CH$55)/(LEN($C$6:$C$55)-LEN(SUBSTITUTE($C$6:$C$55,CHAR(10),""))+1)),
IF(_xlpm.r=0,"",_xlpm.r)
))</f>
        <v/>
      </c>
      <c r="CI66" s="61" t="str" cm="1">
        <f t="array" ref="CI66">IF($C66="","",_xlfn.LET(
_xlpm.r,SUMPRODUCT((ISNUMBER(SEARCH($C66,$C$6:$C$55)))*(CI$6:CI$55)/(LEN($C$6:$C$55)-LEN(SUBSTITUTE($C$6:$C$55,CHAR(10),""))+1)),
IF(_xlpm.r=0,"",_xlpm.r)
))</f>
        <v/>
      </c>
      <c r="CJ66" s="61" t="str" cm="1">
        <f t="array" ref="CJ66">IF($C66="","",_xlfn.LET(
_xlpm.r,SUMPRODUCT((ISNUMBER(SEARCH($C66,$C$6:$C$55)))*(CJ$6:CJ$55)/(LEN($C$6:$C$55)-LEN(SUBSTITUTE($C$6:$C$55,CHAR(10),""))+1)),
IF(_xlpm.r=0,"",_xlpm.r)
))</f>
        <v/>
      </c>
      <c r="CK66" s="61" t="str" cm="1">
        <f t="array" ref="CK66">IF($C66="","",_xlfn.LET(
_xlpm.r,SUMPRODUCT((ISNUMBER(SEARCH($C66,$C$6:$C$55)))*(CK$6:CK$55)/(LEN($C$6:$C$55)-LEN(SUBSTITUTE($C$6:$C$55,CHAR(10),""))+1)),
IF(_xlpm.r=0,"",_xlpm.r)
))</f>
        <v/>
      </c>
      <c r="CL66" s="61" t="str" cm="1">
        <f t="array" ref="CL66">IF($C66="","",_xlfn.LET(
_xlpm.r,SUMPRODUCT((ISNUMBER(SEARCH($C66,$C$6:$C$55)))*(CL$6:CL$55)/(LEN($C$6:$C$55)-LEN(SUBSTITUTE($C$6:$C$55,CHAR(10),""))+1)),
IF(_xlpm.r=0,"",_xlpm.r)
))</f>
        <v/>
      </c>
      <c r="CM66" s="61" t="str" cm="1">
        <f t="array" ref="CM66">IF($C66="","",_xlfn.LET(
_xlpm.r,SUMPRODUCT((ISNUMBER(SEARCH($C66,$C$6:$C$55)))*(CM$6:CM$55)/(LEN($C$6:$C$55)-LEN(SUBSTITUTE($C$6:$C$55,CHAR(10),""))+1)),
IF(_xlpm.r=0,"",_xlpm.r)
))</f>
        <v/>
      </c>
      <c r="CN66" s="61" t="str" cm="1">
        <f t="array" ref="CN66">IF($C66="","",_xlfn.LET(
_xlpm.r,SUMPRODUCT((ISNUMBER(SEARCH($C66,$C$6:$C$55)))*(CN$6:CN$55)/(LEN($C$6:$C$55)-LEN(SUBSTITUTE($C$6:$C$55,CHAR(10),""))+1)),
IF(_xlpm.r=0,"",_xlpm.r)
))</f>
        <v/>
      </c>
      <c r="CO66" s="61" t="str" cm="1">
        <f t="array" ref="CO66">IF($C66="","",_xlfn.LET(
_xlpm.r,SUMPRODUCT((ISNUMBER(SEARCH($C66,$C$6:$C$55)))*(CO$6:CO$55)/(LEN($C$6:$C$55)-LEN(SUBSTITUTE($C$6:$C$55,CHAR(10),""))+1)),
IF(_xlpm.r=0,"",_xlpm.r)
))</f>
        <v/>
      </c>
      <c r="CP66" s="61" t="str" cm="1">
        <f t="array" ref="CP66">IF($C66="","",_xlfn.LET(
_xlpm.r,SUMPRODUCT((ISNUMBER(SEARCH($C66,$C$6:$C$55)))*(CP$6:CP$55)/(LEN($C$6:$C$55)-LEN(SUBSTITUTE($C$6:$C$55,CHAR(10),""))+1)),
IF(_xlpm.r=0,"",_xlpm.r)
))</f>
        <v/>
      </c>
      <c r="CQ66" s="61" t="str" cm="1">
        <f t="array" ref="CQ66">IF($C66="","",_xlfn.LET(
_xlpm.r,SUMPRODUCT((ISNUMBER(SEARCH($C66,$C$6:$C$55)))*(CQ$6:CQ$55)/(LEN($C$6:$C$55)-LEN(SUBSTITUTE($C$6:$C$55,CHAR(10),""))+1)),
IF(_xlpm.r=0,"",_xlpm.r)
))</f>
        <v/>
      </c>
      <c r="CR66" s="61" t="str" cm="1">
        <f t="array" ref="CR66">IF($C66="","",_xlfn.LET(
_xlpm.r,SUMPRODUCT((ISNUMBER(SEARCH($C66,$C$6:$C$55)))*(CR$6:CR$55)/(LEN($C$6:$C$55)-LEN(SUBSTITUTE($C$6:$C$55,CHAR(10),""))+1)),
IF(_xlpm.r=0,"",_xlpm.r)
))</f>
        <v/>
      </c>
      <c r="CS66" s="61" t="str" cm="1">
        <f t="array" ref="CS66">IF($C66="","",_xlfn.LET(
_xlpm.r,SUMPRODUCT((ISNUMBER(SEARCH($C66,$C$6:$C$55)))*(CS$6:CS$55)/(LEN($C$6:$C$55)-LEN(SUBSTITUTE($C$6:$C$55,CHAR(10),""))+1)),
IF(_xlpm.r=0,"",_xlpm.r)
))</f>
        <v/>
      </c>
      <c r="CT66" s="61" t="str" cm="1">
        <f t="array" ref="CT66">IF($C66="","",_xlfn.LET(
_xlpm.r,SUMPRODUCT((ISNUMBER(SEARCH($C66,$C$6:$C$55)))*(CT$6:CT$55)/(LEN($C$6:$C$55)-LEN(SUBSTITUTE($C$6:$C$55,CHAR(10),""))+1)),
IF(_xlpm.r=0,"",_xlpm.r)
))</f>
        <v/>
      </c>
      <c r="CU66" s="61" t="str" cm="1">
        <f t="array" ref="CU66">IF($C66="","",_xlfn.LET(
_xlpm.r,SUMPRODUCT((ISNUMBER(SEARCH($C66,$C$6:$C$55)))*(CU$6:CU$55)/(LEN($C$6:$C$55)-LEN(SUBSTITUTE($C$6:$C$55,CHAR(10),""))+1)),
IF(_xlpm.r=0,"",_xlpm.r)
))</f>
        <v/>
      </c>
      <c r="CV66" s="61" t="str" cm="1">
        <f t="array" ref="CV66">IF($C66="","",_xlfn.LET(
_xlpm.r,SUMPRODUCT((ISNUMBER(SEARCH($C66,$C$6:$C$55)))*(CV$6:CV$55)/(LEN($C$6:$C$55)-LEN(SUBSTITUTE($C$6:$C$55,CHAR(10),""))+1)),
IF(_xlpm.r=0,"",_xlpm.r)
))</f>
        <v/>
      </c>
      <c r="CW66" s="61" t="str" cm="1">
        <f t="array" ref="CW66">IF($C66="","",_xlfn.LET(
_xlpm.r,SUMPRODUCT((ISNUMBER(SEARCH($C66,$C$6:$C$55)))*(CW$6:CW$55)/(LEN($C$6:$C$55)-LEN(SUBSTITUTE($C$6:$C$55,CHAR(10),""))+1)),
IF(_xlpm.r=0,"",_xlpm.r)
))</f>
        <v/>
      </c>
      <c r="CX66" s="61" t="str" cm="1">
        <f t="array" ref="CX66">IF($C66="","",_xlfn.LET(
_xlpm.r,SUMPRODUCT((ISNUMBER(SEARCH($C66,$C$6:$C$55)))*(CX$6:CX$55)/(LEN($C$6:$C$55)-LEN(SUBSTITUTE($C$6:$C$55,CHAR(10),""))+1)),
IF(_xlpm.r=0,"",_xlpm.r)
))</f>
        <v/>
      </c>
      <c r="CY66" s="61" t="str" cm="1">
        <f t="array" ref="CY66">IF($C66="","",_xlfn.LET(
_xlpm.r,SUMPRODUCT((ISNUMBER(SEARCH($C66,$C$6:$C$55)))*(CY$6:CY$55)/(LEN($C$6:$C$55)-LEN(SUBSTITUTE($C$6:$C$55,CHAR(10),""))+1)),
IF(_xlpm.r=0,"",_xlpm.r)
))</f>
        <v/>
      </c>
      <c r="CZ66" s="61" t="str" cm="1">
        <f t="array" ref="CZ66">IF($C66="","",_xlfn.LET(
_xlpm.r,SUMPRODUCT((ISNUMBER(SEARCH($C66,$C$6:$C$55)))*(CZ$6:CZ$55)/(LEN($C$6:$C$55)-LEN(SUBSTITUTE($C$6:$C$55,CHAR(10),""))+1)),
IF(_xlpm.r=0,"",_xlpm.r)
))</f>
        <v/>
      </c>
      <c r="DA66" s="61" t="str" cm="1">
        <f t="array" ref="DA66">IF($C66="","",_xlfn.LET(
_xlpm.r,SUMPRODUCT((ISNUMBER(SEARCH($C66,$C$6:$C$55)))*(DA$6:DA$55)/(LEN($C$6:$C$55)-LEN(SUBSTITUTE($C$6:$C$55,CHAR(10),""))+1)),
IF(_xlpm.r=0,"",_xlpm.r)
))</f>
        <v/>
      </c>
      <c r="DB66" s="61" t="str" cm="1">
        <f t="array" ref="DB66">IF($C66="","",_xlfn.LET(
_xlpm.r,SUMPRODUCT((ISNUMBER(SEARCH($C66,$C$6:$C$55)))*(DB$6:DB$55)/(LEN($C$6:$C$55)-LEN(SUBSTITUTE($C$6:$C$55,CHAR(10),""))+1)),
IF(_xlpm.r=0,"",_xlpm.r)
))</f>
        <v/>
      </c>
      <c r="DC66" s="61" t="str" cm="1">
        <f t="array" ref="DC66">IF($C66="","",_xlfn.LET(
_xlpm.r,SUMPRODUCT((ISNUMBER(SEARCH($C66,$C$6:$C$55)))*(DC$6:DC$55)/(LEN($C$6:$C$55)-LEN(SUBSTITUTE($C$6:$C$55,CHAR(10),""))+1)),
IF(_xlpm.r=0,"",_xlpm.r)
))</f>
        <v/>
      </c>
      <c r="DD66" s="61" t="str" cm="1">
        <f t="array" ref="DD66">IF($C66="","",_xlfn.LET(
_xlpm.r,SUMPRODUCT((ISNUMBER(SEARCH($C66,$C$6:$C$55)))*(DD$6:DD$55)/(LEN($C$6:$C$55)-LEN(SUBSTITUTE($C$6:$C$55,CHAR(10),""))+1)),
IF(_xlpm.r=0,"",_xlpm.r)
))</f>
        <v/>
      </c>
    </row>
    <row r="67" spans="3:108" x14ac:dyDescent="0.3">
      <c r="C67" s="3"/>
      <c r="D67" s="44"/>
      <c r="E67" s="56" t="str" cm="1">
        <f t="array" ref="E67">IF($C67="","",_xlfn.LET(
_xlpm.r,SUMPRODUCT((ISNUMBER(SEARCH($C67,$C$6:$C$55)))*(E$6:E$55)/(LEN($C$6:$C$55)-LEN(SUBSTITUTE($C$6:$C$55,CHAR(10),""))+1)),
IF(_xlpm.r=0,"",_xlpm.r)
))</f>
        <v/>
      </c>
      <c r="F67" s="56" t="str" cm="1">
        <f t="array" ref="F67">IF($C67="","",_xlfn.LET(
_xlpm.r,SUMPRODUCT((ISNUMBER(SEARCH($C67,$C$6:$C$55)))*(F$6:F$55)/(LEN($C$6:$C$55)-LEN(SUBSTITUTE($C$6:$C$55,CHAR(10),""))+1)),
IF(_xlpm.r=0,"",_xlpm.r)
))</f>
        <v/>
      </c>
      <c r="G67" s="56" t="str" cm="1">
        <f t="array" ref="G67">IF($C67="","",_xlfn.LET(
_xlpm.r,SUMPRODUCT((ISNUMBER(SEARCH($C67,$C$6:$C$55)))*(G$6:G$55)/(LEN($C$6:$C$55)-LEN(SUBSTITUTE($C$6:$C$55,CHAR(10),""))+1)),
IF(_xlpm.r=0,"",_xlpm.r)
))</f>
        <v/>
      </c>
      <c r="H67" s="56" t="str" cm="1">
        <f t="array" ref="H67">IF($C67="","",_xlfn.LET(
_xlpm.r,SUMPRODUCT((ISNUMBER(SEARCH($C67,$C$6:$C$55)))*(H$6:H$55)/(LEN($C$6:$C$55)-LEN(SUBSTITUTE($C$6:$C$55,CHAR(10),""))+1)),
IF(_xlpm.r=0,"",_xlpm.r)
))</f>
        <v/>
      </c>
      <c r="I67" s="56" t="str" cm="1">
        <f t="array" ref="I67">IF($C67="","",_xlfn.LET(
_xlpm.r,SUMPRODUCT((ISNUMBER(SEARCH($C67,$C$6:$C$55)))*(I$6:I$55)/(LEN($C$6:$C$55)-LEN(SUBSTITUTE($C$6:$C$55,CHAR(10),""))+1)),
IF(_xlpm.r=0,"",_xlpm.r)
))</f>
        <v/>
      </c>
      <c r="J67" s="56" t="str" cm="1">
        <f t="array" ref="J67">IF($C67="","",_xlfn.LET(
_xlpm.r,SUMPRODUCT((ISNUMBER(SEARCH($C67,$C$6:$C$55)))*(J$6:J$55)/(LEN($C$6:$C$55)-LEN(SUBSTITUTE($C$6:$C$55,CHAR(10),""))+1)),
IF(_xlpm.r=0,"",_xlpm.r)
))</f>
        <v/>
      </c>
      <c r="K67" s="56" t="str" cm="1">
        <f t="array" ref="K67">IF($C67="","",_xlfn.LET(
_xlpm.r,SUMPRODUCT((ISNUMBER(SEARCH($C67,$C$6:$C$55)))*(K$6:K$55)/(LEN($C$6:$C$55)-LEN(SUBSTITUTE($C$6:$C$55,CHAR(10),""))+1)),
IF(_xlpm.r=0,"",_xlpm.r)
))</f>
        <v/>
      </c>
      <c r="L67" s="56" t="str" cm="1">
        <f t="array" ref="L67">IF($C67="","",_xlfn.LET(
_xlpm.r,SUMPRODUCT((ISNUMBER(SEARCH($C67,$C$6:$C$55)))*(L$6:L$55)/(LEN($C$6:$C$55)-LEN(SUBSTITUTE($C$6:$C$55,CHAR(10),""))+1)),
IF(_xlpm.r=0,"",_xlpm.r)
))</f>
        <v/>
      </c>
      <c r="M67" s="56" t="str" cm="1">
        <f t="array" ref="M67">IF($C67="","",_xlfn.LET(
_xlpm.r,SUMPRODUCT((ISNUMBER(SEARCH($C67,$C$6:$C$55)))*(M$6:M$55)/(LEN($C$6:$C$55)-LEN(SUBSTITUTE($C$6:$C$55,CHAR(10),""))+1)),
IF(_xlpm.r=0,"",_xlpm.r)
))</f>
        <v/>
      </c>
      <c r="N67" s="56" t="str" cm="1">
        <f t="array" ref="N67">IF($C67="","",_xlfn.LET(
_xlpm.r,SUMPRODUCT((ISNUMBER(SEARCH($C67,$C$6:$C$55)))*(N$6:N$55)/(LEN($C$6:$C$55)-LEN(SUBSTITUTE($C$6:$C$55,CHAR(10),""))+1)),
IF(_xlpm.r=0,"",_xlpm.r)
))</f>
        <v/>
      </c>
      <c r="O67" s="56" t="str" cm="1">
        <f t="array" ref="O67">IF($C67="","",_xlfn.LET(
_xlpm.r,SUMPRODUCT((ISNUMBER(SEARCH($C67,$C$6:$C$55)))*(O$6:O$55)/(LEN($C$6:$C$55)-LEN(SUBSTITUTE($C$6:$C$55,CHAR(10),""))+1)),
IF(_xlpm.r=0,"",_xlpm.r)
))</f>
        <v/>
      </c>
      <c r="P67" s="56" t="str" cm="1">
        <f t="array" ref="P67">IF($C67="","",_xlfn.LET(
_xlpm.r,SUMPRODUCT((ISNUMBER(SEARCH($C67,$C$6:$C$55)))*(P$6:P$55)/(LEN($C$6:$C$55)-LEN(SUBSTITUTE($C$6:$C$55,CHAR(10),""))+1)),
IF(_xlpm.r=0,"",_xlpm.r)
))</f>
        <v/>
      </c>
      <c r="Q67" s="56" t="str" cm="1">
        <f t="array" ref="Q67">IF($C67="","",_xlfn.LET(
_xlpm.r,SUMPRODUCT((ISNUMBER(SEARCH($C67,$C$6:$C$55)))*(Q$6:Q$55)/(LEN($C$6:$C$55)-LEN(SUBSTITUTE($C$6:$C$55,CHAR(10),""))+1)),
IF(_xlpm.r=0,"",_xlpm.r)
))</f>
        <v/>
      </c>
      <c r="R67" s="56" t="str" cm="1">
        <f t="array" ref="R67">IF($C67="","",_xlfn.LET(
_xlpm.r,SUMPRODUCT((ISNUMBER(SEARCH($C67,$C$6:$C$55)))*(R$6:R$55)/(LEN($C$6:$C$55)-LEN(SUBSTITUTE($C$6:$C$55,CHAR(10),""))+1)),
IF(_xlpm.r=0,"",_xlpm.r)
))</f>
        <v/>
      </c>
      <c r="S67" s="56" t="str" cm="1">
        <f t="array" ref="S67">IF($C67="","",_xlfn.LET(
_xlpm.r,SUMPRODUCT((ISNUMBER(SEARCH($C67,$C$6:$C$55)))*(S$6:S$55)/(LEN($C$6:$C$55)-LEN(SUBSTITUTE($C$6:$C$55,CHAR(10),""))+1)),
IF(_xlpm.r=0,"",_xlpm.r)
))</f>
        <v/>
      </c>
      <c r="T67" s="56" t="str" cm="1">
        <f t="array" ref="T67">IF($C67="","",_xlfn.LET(
_xlpm.r,SUMPRODUCT((ISNUMBER(SEARCH($C67,$C$6:$C$55)))*(T$6:T$55)/(LEN($C$6:$C$55)-LEN(SUBSTITUTE($C$6:$C$55,CHAR(10),""))+1)),
IF(_xlpm.r=0,"",_xlpm.r)
))</f>
        <v/>
      </c>
      <c r="U67" s="56" t="str" cm="1">
        <f t="array" ref="U67">IF($C67="","",_xlfn.LET(
_xlpm.r,SUMPRODUCT((ISNUMBER(SEARCH($C67,$C$6:$C$55)))*(U$6:U$55)/(LEN($C$6:$C$55)-LEN(SUBSTITUTE($C$6:$C$55,CHAR(10),""))+1)),
IF(_xlpm.r=0,"",_xlpm.r)
))</f>
        <v/>
      </c>
      <c r="V67" s="56" t="str" cm="1">
        <f t="array" ref="V67">IF($C67="","",_xlfn.LET(
_xlpm.r,SUMPRODUCT((ISNUMBER(SEARCH($C67,$C$6:$C$55)))*(V$6:V$55)/(LEN($C$6:$C$55)-LEN(SUBSTITUTE($C$6:$C$55,CHAR(10),""))+1)),
IF(_xlpm.r=0,"",_xlpm.r)
))</f>
        <v/>
      </c>
      <c r="W67" s="56" t="str" cm="1">
        <f t="array" ref="W67">IF($C67="","",_xlfn.LET(
_xlpm.r,SUMPRODUCT((ISNUMBER(SEARCH($C67,$C$6:$C$55)))*(W$6:W$55)/(LEN($C$6:$C$55)-LEN(SUBSTITUTE($C$6:$C$55,CHAR(10),""))+1)),
IF(_xlpm.r=0,"",_xlpm.r)
))</f>
        <v/>
      </c>
      <c r="X67" s="56" t="str" cm="1">
        <f t="array" ref="X67">IF($C67="","",_xlfn.LET(
_xlpm.r,SUMPRODUCT((ISNUMBER(SEARCH($C67,$C$6:$C$55)))*(X$6:X$55)/(LEN($C$6:$C$55)-LEN(SUBSTITUTE($C$6:$C$55,CHAR(10),""))+1)),
IF(_xlpm.r=0,"",_xlpm.r)
))</f>
        <v/>
      </c>
      <c r="Y67" s="56" t="str" cm="1">
        <f t="array" ref="Y67">IF($C67="","",_xlfn.LET(
_xlpm.r,SUMPRODUCT((ISNUMBER(SEARCH($C67,$C$6:$C$55)))*(Y$6:Y$55)/(LEN($C$6:$C$55)-LEN(SUBSTITUTE($C$6:$C$55,CHAR(10),""))+1)),
IF(_xlpm.r=0,"",_xlpm.r)
))</f>
        <v/>
      </c>
      <c r="Z67" s="56" t="str" cm="1">
        <f t="array" ref="Z67">IF($C67="","",_xlfn.LET(
_xlpm.r,SUMPRODUCT((ISNUMBER(SEARCH($C67,$C$6:$C$55)))*(Z$6:Z$55)/(LEN($C$6:$C$55)-LEN(SUBSTITUTE($C$6:$C$55,CHAR(10),""))+1)),
IF(_xlpm.r=0,"",_xlpm.r)
))</f>
        <v/>
      </c>
      <c r="AA67" s="56" t="str" cm="1">
        <f t="array" ref="AA67">IF($C67="","",_xlfn.LET(
_xlpm.r,SUMPRODUCT((ISNUMBER(SEARCH($C67,$C$6:$C$55)))*(AA$6:AA$55)/(LEN($C$6:$C$55)-LEN(SUBSTITUTE($C$6:$C$55,CHAR(10),""))+1)),
IF(_xlpm.r=0,"",_xlpm.r)
))</f>
        <v/>
      </c>
      <c r="AB67" s="56" t="str" cm="1">
        <f t="array" ref="AB67">IF($C67="","",_xlfn.LET(
_xlpm.r,SUMPRODUCT((ISNUMBER(SEARCH($C67,$C$6:$C$55)))*(AB$6:AB$55)/(LEN($C$6:$C$55)-LEN(SUBSTITUTE($C$6:$C$55,CHAR(10),""))+1)),
IF(_xlpm.r=0,"",_xlpm.r)
))</f>
        <v/>
      </c>
      <c r="AC67" s="56" t="str" cm="1">
        <f t="array" ref="AC67">IF($C67="","",_xlfn.LET(
_xlpm.r,SUMPRODUCT((ISNUMBER(SEARCH($C67,$C$6:$C$55)))*(AC$6:AC$55)/(LEN($C$6:$C$55)-LEN(SUBSTITUTE($C$6:$C$55,CHAR(10),""))+1)),
IF(_xlpm.r=0,"",_xlpm.r)
))</f>
        <v/>
      </c>
      <c r="AD67" s="56" t="str" cm="1">
        <f t="array" ref="AD67">IF($C67="","",_xlfn.LET(
_xlpm.r,SUMPRODUCT((ISNUMBER(SEARCH($C67,$C$6:$C$55)))*(AD$6:AD$55)/(LEN($C$6:$C$55)-LEN(SUBSTITUTE($C$6:$C$55,CHAR(10),""))+1)),
IF(_xlpm.r=0,"",_xlpm.r)
))</f>
        <v/>
      </c>
      <c r="AE67" s="56" t="str" cm="1">
        <f t="array" ref="AE67">IF($C67="","",_xlfn.LET(
_xlpm.r,SUMPRODUCT((ISNUMBER(SEARCH($C67,$C$6:$C$55)))*(AE$6:AE$55)/(LEN($C$6:$C$55)-LEN(SUBSTITUTE($C$6:$C$55,CHAR(10),""))+1)),
IF(_xlpm.r=0,"",_xlpm.r)
))</f>
        <v/>
      </c>
      <c r="AF67" s="56" t="str" cm="1">
        <f t="array" ref="AF67">IF($C67="","",_xlfn.LET(
_xlpm.r,SUMPRODUCT((ISNUMBER(SEARCH($C67,$C$6:$C$55)))*(AF$6:AF$55)/(LEN($C$6:$C$55)-LEN(SUBSTITUTE($C$6:$C$55,CHAR(10),""))+1)),
IF(_xlpm.r=0,"",_xlpm.r)
))</f>
        <v/>
      </c>
      <c r="AG67" s="56" t="str" cm="1">
        <f t="array" ref="AG67">IF($C67="","",_xlfn.LET(
_xlpm.r,SUMPRODUCT((ISNUMBER(SEARCH($C67,$C$6:$C$55)))*(AG$6:AG$55)/(LEN($C$6:$C$55)-LEN(SUBSTITUTE($C$6:$C$55,CHAR(10),""))+1)),
IF(_xlpm.r=0,"",_xlpm.r)
))</f>
        <v/>
      </c>
      <c r="AH67" s="56" t="str" cm="1">
        <f t="array" ref="AH67">IF($C67="","",_xlfn.LET(
_xlpm.r,SUMPRODUCT((ISNUMBER(SEARCH($C67,$C$6:$C$55)))*(AH$6:AH$55)/(LEN($C$6:$C$55)-LEN(SUBSTITUTE($C$6:$C$55,CHAR(10),""))+1)),
IF(_xlpm.r=0,"",_xlpm.r)
))</f>
        <v/>
      </c>
      <c r="AI67" s="56" t="str" cm="1">
        <f t="array" ref="AI67">IF($C67="","",_xlfn.LET(
_xlpm.r,SUMPRODUCT((ISNUMBER(SEARCH($C67,$C$6:$C$55)))*(AI$6:AI$55)/(LEN($C$6:$C$55)-LEN(SUBSTITUTE($C$6:$C$55,CHAR(10),""))+1)),
IF(_xlpm.r=0,"",_xlpm.r)
))</f>
        <v/>
      </c>
      <c r="AJ67" s="56" t="str" cm="1">
        <f t="array" ref="AJ67">IF($C67="","",_xlfn.LET(
_xlpm.r,SUMPRODUCT((ISNUMBER(SEARCH($C67,$C$6:$C$55)))*(AJ$6:AJ$55)/(LEN($C$6:$C$55)-LEN(SUBSTITUTE($C$6:$C$55,CHAR(10),""))+1)),
IF(_xlpm.r=0,"",_xlpm.r)
))</f>
        <v/>
      </c>
      <c r="AK67" s="56" t="str" cm="1">
        <f t="array" ref="AK67">IF($C67="","",_xlfn.LET(
_xlpm.r,SUMPRODUCT((ISNUMBER(SEARCH($C67,$C$6:$C$55)))*(AK$6:AK$55)/(LEN($C$6:$C$55)-LEN(SUBSTITUTE($C$6:$C$55,CHAR(10),""))+1)),
IF(_xlpm.r=0,"",_xlpm.r)
))</f>
        <v/>
      </c>
      <c r="AL67" s="56" t="str" cm="1">
        <f t="array" ref="AL67">IF($C67="","",_xlfn.LET(
_xlpm.r,SUMPRODUCT((ISNUMBER(SEARCH($C67,$C$6:$C$55)))*(AL$6:AL$55)/(LEN($C$6:$C$55)-LEN(SUBSTITUTE($C$6:$C$55,CHAR(10),""))+1)),
IF(_xlpm.r=0,"",_xlpm.r)
))</f>
        <v/>
      </c>
      <c r="AM67" s="56" t="str" cm="1">
        <f t="array" ref="AM67">IF($C67="","",_xlfn.LET(
_xlpm.r,SUMPRODUCT((ISNUMBER(SEARCH($C67,$C$6:$C$55)))*(AM$6:AM$55)/(LEN($C$6:$C$55)-LEN(SUBSTITUTE($C$6:$C$55,CHAR(10),""))+1)),
IF(_xlpm.r=0,"",_xlpm.r)
))</f>
        <v/>
      </c>
      <c r="AN67" s="56" t="str" cm="1">
        <f t="array" ref="AN67">IF($C67="","",_xlfn.LET(
_xlpm.r,SUMPRODUCT((ISNUMBER(SEARCH($C67,$C$6:$C$55)))*(AN$6:AN$55)/(LEN($C$6:$C$55)-LEN(SUBSTITUTE($C$6:$C$55,CHAR(10),""))+1)),
IF(_xlpm.r=0,"",_xlpm.r)
))</f>
        <v/>
      </c>
      <c r="AO67" s="56" t="str" cm="1">
        <f t="array" ref="AO67">IF($C67="","",_xlfn.LET(
_xlpm.r,SUMPRODUCT((ISNUMBER(SEARCH($C67,$C$6:$C$55)))*(AO$6:AO$55)/(LEN($C$6:$C$55)-LEN(SUBSTITUTE($C$6:$C$55,CHAR(10),""))+1)),
IF(_xlpm.r=0,"",_xlpm.r)
))</f>
        <v/>
      </c>
      <c r="AP67" s="56" t="str" cm="1">
        <f t="array" ref="AP67">IF($C67="","",_xlfn.LET(
_xlpm.r,SUMPRODUCT((ISNUMBER(SEARCH($C67,$C$6:$C$55)))*(AP$6:AP$55)/(LEN($C$6:$C$55)-LEN(SUBSTITUTE($C$6:$C$55,CHAR(10),""))+1)),
IF(_xlpm.r=0,"",_xlpm.r)
))</f>
        <v/>
      </c>
      <c r="AQ67" s="56" t="str" cm="1">
        <f t="array" ref="AQ67">IF($C67="","",_xlfn.LET(
_xlpm.r,SUMPRODUCT((ISNUMBER(SEARCH($C67,$C$6:$C$55)))*(AQ$6:AQ$55)/(LEN($C$6:$C$55)-LEN(SUBSTITUTE($C$6:$C$55,CHAR(10),""))+1)),
IF(_xlpm.r=0,"",_xlpm.r)
))</f>
        <v/>
      </c>
      <c r="AR67" s="56" t="str" cm="1">
        <f t="array" ref="AR67">IF($C67="","",_xlfn.LET(
_xlpm.r,SUMPRODUCT((ISNUMBER(SEARCH($C67,$C$6:$C$55)))*(AR$6:AR$55)/(LEN($C$6:$C$55)-LEN(SUBSTITUTE($C$6:$C$55,CHAR(10),""))+1)),
IF(_xlpm.r=0,"",_xlpm.r)
))</f>
        <v/>
      </c>
      <c r="AS67" s="56" t="str" cm="1">
        <f t="array" ref="AS67">IF($C67="","",_xlfn.LET(
_xlpm.r,SUMPRODUCT((ISNUMBER(SEARCH($C67,$C$6:$C$55)))*(AS$6:AS$55)/(LEN($C$6:$C$55)-LEN(SUBSTITUTE($C$6:$C$55,CHAR(10),""))+1)),
IF(_xlpm.r=0,"",_xlpm.r)
))</f>
        <v/>
      </c>
      <c r="AT67" s="56" t="str" cm="1">
        <f t="array" ref="AT67">IF($C67="","",_xlfn.LET(
_xlpm.r,SUMPRODUCT((ISNUMBER(SEARCH($C67,$C$6:$C$55)))*(AT$6:AT$55)/(LEN($C$6:$C$55)-LEN(SUBSTITUTE($C$6:$C$55,CHAR(10),""))+1)),
IF(_xlpm.r=0,"",_xlpm.r)
))</f>
        <v/>
      </c>
      <c r="AU67" s="56" t="str" cm="1">
        <f t="array" ref="AU67">IF($C67="","",_xlfn.LET(
_xlpm.r,SUMPRODUCT((ISNUMBER(SEARCH($C67,$C$6:$C$55)))*(AU$6:AU$55)/(LEN($C$6:$C$55)-LEN(SUBSTITUTE($C$6:$C$55,CHAR(10),""))+1)),
IF(_xlpm.r=0,"",_xlpm.r)
))</f>
        <v/>
      </c>
      <c r="AV67" s="56" t="str" cm="1">
        <f t="array" ref="AV67">IF($C67="","",_xlfn.LET(
_xlpm.r,SUMPRODUCT((ISNUMBER(SEARCH($C67,$C$6:$C$55)))*(AV$6:AV$55)/(LEN($C$6:$C$55)-LEN(SUBSTITUTE($C$6:$C$55,CHAR(10),""))+1)),
IF(_xlpm.r=0,"",_xlpm.r)
))</f>
        <v/>
      </c>
      <c r="AW67" s="56" t="str" cm="1">
        <f t="array" ref="AW67">IF($C67="","",_xlfn.LET(
_xlpm.r,SUMPRODUCT((ISNUMBER(SEARCH($C67,$C$6:$C$55)))*(AW$6:AW$55)/(LEN($C$6:$C$55)-LEN(SUBSTITUTE($C$6:$C$55,CHAR(10),""))+1)),
IF(_xlpm.r=0,"",_xlpm.r)
))</f>
        <v/>
      </c>
      <c r="AX67" s="56" t="str" cm="1">
        <f t="array" ref="AX67">IF($C67="","",_xlfn.LET(
_xlpm.r,SUMPRODUCT((ISNUMBER(SEARCH($C67,$C$6:$C$55)))*(AX$6:AX$55)/(LEN($C$6:$C$55)-LEN(SUBSTITUTE($C$6:$C$55,CHAR(10),""))+1)),
IF(_xlpm.r=0,"",_xlpm.r)
))</f>
        <v/>
      </c>
      <c r="AY67" s="56" t="str" cm="1">
        <f t="array" ref="AY67">IF($C67="","",_xlfn.LET(
_xlpm.r,SUMPRODUCT((ISNUMBER(SEARCH($C67,$C$6:$C$55)))*(AY$6:AY$55)/(LEN($C$6:$C$55)-LEN(SUBSTITUTE($C$6:$C$55,CHAR(10),""))+1)),
IF(_xlpm.r=0,"",_xlpm.r)
))</f>
        <v/>
      </c>
      <c r="AZ67" s="56" t="str" cm="1">
        <f t="array" ref="AZ67">IF($C67="","",_xlfn.LET(
_xlpm.r,SUMPRODUCT((ISNUMBER(SEARCH($C67,$C$6:$C$55)))*(AZ$6:AZ$55)/(LEN($C$6:$C$55)-LEN(SUBSTITUTE($C$6:$C$55,CHAR(10),""))+1)),
IF(_xlpm.r=0,"",_xlpm.r)
))</f>
        <v/>
      </c>
      <c r="BA67" s="56" t="str" cm="1">
        <f t="array" ref="BA67">IF($C67="","",_xlfn.LET(
_xlpm.r,SUMPRODUCT((ISNUMBER(SEARCH($C67,$C$6:$C$55)))*(BA$6:BA$55)/(LEN($C$6:$C$55)-LEN(SUBSTITUTE($C$6:$C$55,CHAR(10),""))+1)),
IF(_xlpm.r=0,"",_xlpm.r)
))</f>
        <v/>
      </c>
      <c r="BB67" s="56" t="str" cm="1">
        <f t="array" ref="BB67">IF($C67="","",_xlfn.LET(
_xlpm.r,SUMPRODUCT((ISNUMBER(SEARCH($C67,$C$6:$C$55)))*(BB$6:BB$55)/(LEN($C$6:$C$55)-LEN(SUBSTITUTE($C$6:$C$55,CHAR(10),""))+1)),
IF(_xlpm.r=0,"",_xlpm.r)
))</f>
        <v/>
      </c>
      <c r="BC67" s="56" t="str" cm="1">
        <f t="array" ref="BC67">IF($C67="","",_xlfn.LET(
_xlpm.r,SUMPRODUCT((ISNUMBER(SEARCH($C67,$C$6:$C$55)))*(BC$6:BC$55)/(LEN($C$6:$C$55)-LEN(SUBSTITUTE($C$6:$C$55,CHAR(10),""))+1)),
IF(_xlpm.r=0,"",_xlpm.r)
))</f>
        <v/>
      </c>
      <c r="BD67" s="56" t="str" cm="1">
        <f t="array" ref="BD67">IF($C67="","",_xlfn.LET(
_xlpm.r,SUMPRODUCT((ISNUMBER(SEARCH($C67,$C$6:$C$55)))*(BD$6:BD$55)/(LEN($C$6:$C$55)-LEN(SUBSTITUTE($C$6:$C$55,CHAR(10),""))+1)),
IF(_xlpm.r=0,"",_xlpm.r)
))</f>
        <v/>
      </c>
      <c r="BE67" s="56" t="str" cm="1">
        <f t="array" ref="BE67">IF($C67="","",_xlfn.LET(
_xlpm.r,SUMPRODUCT((ISNUMBER(SEARCH($C67,$C$6:$C$55)))*(BE$6:BE$55)/(LEN($C$6:$C$55)-LEN(SUBSTITUTE($C$6:$C$55,CHAR(10),""))+1)),
IF(_xlpm.r=0,"",_xlpm.r)
))</f>
        <v/>
      </c>
      <c r="BF67" s="56" t="str" cm="1">
        <f t="array" ref="BF67">IF($C67="","",_xlfn.LET(
_xlpm.r,SUMPRODUCT((ISNUMBER(SEARCH($C67,$C$6:$C$55)))*(BF$6:BF$55)/(LEN($C$6:$C$55)-LEN(SUBSTITUTE($C$6:$C$55,CHAR(10),""))+1)),
IF(_xlpm.r=0,"",_xlpm.r)
))</f>
        <v/>
      </c>
      <c r="BG67" s="56" t="str" cm="1">
        <f t="array" ref="BG67">IF($C67="","",_xlfn.LET(
_xlpm.r,SUMPRODUCT((ISNUMBER(SEARCH($C67,$C$6:$C$55)))*(BG$6:BG$55)/(LEN($C$6:$C$55)-LEN(SUBSTITUTE($C$6:$C$55,CHAR(10),""))+1)),
IF(_xlpm.r=0,"",_xlpm.r)
))</f>
        <v/>
      </c>
      <c r="BH67" s="56" t="str" cm="1">
        <f t="array" ref="BH67">IF($C67="","",_xlfn.LET(
_xlpm.r,SUMPRODUCT((ISNUMBER(SEARCH($C67,$C$6:$C$55)))*(BH$6:BH$55)/(LEN($C$6:$C$55)-LEN(SUBSTITUTE($C$6:$C$55,CHAR(10),""))+1)),
IF(_xlpm.r=0,"",_xlpm.r)
))</f>
        <v/>
      </c>
      <c r="BI67" s="56" t="str" cm="1">
        <f t="array" ref="BI67">IF($C67="","",_xlfn.LET(
_xlpm.r,SUMPRODUCT((ISNUMBER(SEARCH($C67,$C$6:$C$55)))*(BI$6:BI$55)/(LEN($C$6:$C$55)-LEN(SUBSTITUTE($C$6:$C$55,CHAR(10),""))+1)),
IF(_xlpm.r=0,"",_xlpm.r)
))</f>
        <v/>
      </c>
      <c r="BJ67" s="56" t="str" cm="1">
        <f t="array" ref="BJ67">IF($C67="","",_xlfn.LET(
_xlpm.r,SUMPRODUCT((ISNUMBER(SEARCH($C67,$C$6:$C$55)))*(BJ$6:BJ$55)/(LEN($C$6:$C$55)-LEN(SUBSTITUTE($C$6:$C$55,CHAR(10),""))+1)),
IF(_xlpm.r=0,"",_xlpm.r)
))</f>
        <v/>
      </c>
      <c r="BK67" s="56" t="str" cm="1">
        <f t="array" ref="BK67">IF($C67="","",_xlfn.LET(
_xlpm.r,SUMPRODUCT((ISNUMBER(SEARCH($C67,$C$6:$C$55)))*(BK$6:BK$55)/(LEN($C$6:$C$55)-LEN(SUBSTITUTE($C$6:$C$55,CHAR(10),""))+1)),
IF(_xlpm.r=0,"",_xlpm.r)
))</f>
        <v/>
      </c>
      <c r="BL67" s="56" t="str" cm="1">
        <f t="array" ref="BL67">IF($C67="","",_xlfn.LET(
_xlpm.r,SUMPRODUCT((ISNUMBER(SEARCH($C67,$C$6:$C$55)))*(BL$6:BL$55)/(LEN($C$6:$C$55)-LEN(SUBSTITUTE($C$6:$C$55,CHAR(10),""))+1)),
IF(_xlpm.r=0,"",_xlpm.r)
))</f>
        <v/>
      </c>
      <c r="BM67" s="56" t="str" cm="1">
        <f t="array" ref="BM67">IF($C67="","",_xlfn.LET(
_xlpm.r,SUMPRODUCT((ISNUMBER(SEARCH($C67,$C$6:$C$55)))*(BM$6:BM$55)/(LEN($C$6:$C$55)-LEN(SUBSTITUTE($C$6:$C$55,CHAR(10),""))+1)),
IF(_xlpm.r=0,"",_xlpm.r)
))</f>
        <v/>
      </c>
      <c r="BN67" s="56" t="str" cm="1">
        <f t="array" ref="BN67">IF($C67="","",_xlfn.LET(
_xlpm.r,SUMPRODUCT((ISNUMBER(SEARCH($C67,$C$6:$C$55)))*(BN$6:BN$55)/(LEN($C$6:$C$55)-LEN(SUBSTITUTE($C$6:$C$55,CHAR(10),""))+1)),
IF(_xlpm.r=0,"",_xlpm.r)
))</f>
        <v/>
      </c>
      <c r="BO67" s="56" t="str" cm="1">
        <f t="array" ref="BO67">IF($C67="","",_xlfn.LET(
_xlpm.r,SUMPRODUCT((ISNUMBER(SEARCH($C67,$C$6:$C$55)))*(BO$6:BO$55)/(LEN($C$6:$C$55)-LEN(SUBSTITUTE($C$6:$C$55,CHAR(10),""))+1)),
IF(_xlpm.r=0,"",_xlpm.r)
))</f>
        <v/>
      </c>
      <c r="BP67" s="56" t="str" cm="1">
        <f t="array" ref="BP67">IF($C67="","",_xlfn.LET(
_xlpm.r,SUMPRODUCT((ISNUMBER(SEARCH($C67,$C$6:$C$55)))*(BP$6:BP$55)/(LEN($C$6:$C$55)-LEN(SUBSTITUTE($C$6:$C$55,CHAR(10),""))+1)),
IF(_xlpm.r=0,"",_xlpm.r)
))</f>
        <v/>
      </c>
      <c r="BQ67" s="56" t="str" cm="1">
        <f t="array" ref="BQ67">IF($C67="","",_xlfn.LET(
_xlpm.r,SUMPRODUCT((ISNUMBER(SEARCH($C67,$C$6:$C$55)))*(BQ$6:BQ$55)/(LEN($C$6:$C$55)-LEN(SUBSTITUTE($C$6:$C$55,CHAR(10),""))+1)),
IF(_xlpm.r=0,"",_xlpm.r)
))</f>
        <v/>
      </c>
      <c r="BR67" s="56" t="str" cm="1">
        <f t="array" ref="BR67">IF($C67="","",_xlfn.LET(
_xlpm.r,SUMPRODUCT((ISNUMBER(SEARCH($C67,$C$6:$C$55)))*(BR$6:BR$55)/(LEN($C$6:$C$55)-LEN(SUBSTITUTE($C$6:$C$55,CHAR(10),""))+1)),
IF(_xlpm.r=0,"",_xlpm.r)
))</f>
        <v/>
      </c>
      <c r="BS67" s="56" t="str" cm="1">
        <f t="array" ref="BS67">IF($C67="","",_xlfn.LET(
_xlpm.r,SUMPRODUCT((ISNUMBER(SEARCH($C67,$C$6:$C$55)))*(BS$6:BS$55)/(LEN($C$6:$C$55)-LEN(SUBSTITUTE($C$6:$C$55,CHAR(10),""))+1)),
IF(_xlpm.r=0,"",_xlpm.r)
))</f>
        <v/>
      </c>
      <c r="BT67" s="56" t="str" cm="1">
        <f t="array" ref="BT67">IF($C67="","",_xlfn.LET(
_xlpm.r,SUMPRODUCT((ISNUMBER(SEARCH($C67,$C$6:$C$55)))*(BT$6:BT$55)/(LEN($C$6:$C$55)-LEN(SUBSTITUTE($C$6:$C$55,CHAR(10),""))+1)),
IF(_xlpm.r=0,"",_xlpm.r)
))</f>
        <v/>
      </c>
      <c r="BU67" s="56" t="str" cm="1">
        <f t="array" ref="BU67">IF($C67="","",_xlfn.LET(
_xlpm.r,SUMPRODUCT((ISNUMBER(SEARCH($C67,$C$6:$C$55)))*(BU$6:BU$55)/(LEN($C$6:$C$55)-LEN(SUBSTITUTE($C$6:$C$55,CHAR(10),""))+1)),
IF(_xlpm.r=0,"",_xlpm.r)
))</f>
        <v/>
      </c>
      <c r="BV67" s="56" t="str" cm="1">
        <f t="array" ref="BV67">IF($C67="","",_xlfn.LET(
_xlpm.r,SUMPRODUCT((ISNUMBER(SEARCH($C67,$C$6:$C$55)))*(BV$6:BV$55)/(LEN($C$6:$C$55)-LEN(SUBSTITUTE($C$6:$C$55,CHAR(10),""))+1)),
IF(_xlpm.r=0,"",_xlpm.r)
))</f>
        <v/>
      </c>
      <c r="BW67" s="56" t="str" cm="1">
        <f t="array" ref="BW67">IF($C67="","",_xlfn.LET(
_xlpm.r,SUMPRODUCT((ISNUMBER(SEARCH($C67,$C$6:$C$55)))*(BW$6:BW$55)/(LEN($C$6:$C$55)-LEN(SUBSTITUTE($C$6:$C$55,CHAR(10),""))+1)),
IF(_xlpm.r=0,"",_xlpm.r)
))</f>
        <v/>
      </c>
      <c r="BX67" s="56" t="str" cm="1">
        <f t="array" ref="BX67">IF($C67="","",_xlfn.LET(
_xlpm.r,SUMPRODUCT((ISNUMBER(SEARCH($C67,$C$6:$C$55)))*(BX$6:BX$55)/(LEN($C$6:$C$55)-LEN(SUBSTITUTE($C$6:$C$55,CHAR(10),""))+1)),
IF(_xlpm.r=0,"",_xlpm.r)
))</f>
        <v/>
      </c>
      <c r="BY67" s="56" t="str" cm="1">
        <f t="array" ref="BY67">IF($C67="","",_xlfn.LET(
_xlpm.r,SUMPRODUCT((ISNUMBER(SEARCH($C67,$C$6:$C$55)))*(BY$6:BY$55)/(LEN($C$6:$C$55)-LEN(SUBSTITUTE($C$6:$C$55,CHAR(10),""))+1)),
IF(_xlpm.r=0,"",_xlpm.r)
))</f>
        <v/>
      </c>
      <c r="BZ67" s="56" t="str" cm="1">
        <f t="array" ref="BZ67">IF($C67="","",_xlfn.LET(
_xlpm.r,SUMPRODUCT((ISNUMBER(SEARCH($C67,$C$6:$C$55)))*(BZ$6:BZ$55)/(LEN($C$6:$C$55)-LEN(SUBSTITUTE($C$6:$C$55,CHAR(10),""))+1)),
IF(_xlpm.r=0,"",_xlpm.r)
))</f>
        <v/>
      </c>
      <c r="CA67" s="56" t="str" cm="1">
        <f t="array" ref="CA67">IF($C67="","",_xlfn.LET(
_xlpm.r,SUMPRODUCT((ISNUMBER(SEARCH($C67,$C$6:$C$55)))*(CA$6:CA$55)/(LEN($C$6:$C$55)-LEN(SUBSTITUTE($C$6:$C$55,CHAR(10),""))+1)),
IF(_xlpm.r=0,"",_xlpm.r)
))</f>
        <v/>
      </c>
      <c r="CB67" s="56" t="str" cm="1">
        <f t="array" ref="CB67">IF($C67="","",_xlfn.LET(
_xlpm.r,SUMPRODUCT((ISNUMBER(SEARCH($C67,$C$6:$C$55)))*(CB$6:CB$55)/(LEN($C$6:$C$55)-LEN(SUBSTITUTE($C$6:$C$55,CHAR(10),""))+1)),
IF(_xlpm.r=0,"",_xlpm.r)
))</f>
        <v/>
      </c>
      <c r="CC67" s="56" t="str" cm="1">
        <f t="array" ref="CC67">IF($C67="","",_xlfn.LET(
_xlpm.r,SUMPRODUCT((ISNUMBER(SEARCH($C67,$C$6:$C$55)))*(CC$6:CC$55)/(LEN($C$6:$C$55)-LEN(SUBSTITUTE($C$6:$C$55,CHAR(10),""))+1)),
IF(_xlpm.r=0,"",_xlpm.r)
))</f>
        <v/>
      </c>
      <c r="CD67" s="56" t="str" cm="1">
        <f t="array" ref="CD67">IF($C67="","",_xlfn.LET(
_xlpm.r,SUMPRODUCT((ISNUMBER(SEARCH($C67,$C$6:$C$55)))*(CD$6:CD$55)/(LEN($C$6:$C$55)-LEN(SUBSTITUTE($C$6:$C$55,CHAR(10),""))+1)),
IF(_xlpm.r=0,"",_xlpm.r)
))</f>
        <v/>
      </c>
      <c r="CE67" s="56" t="str" cm="1">
        <f t="array" ref="CE67">IF($C67="","",_xlfn.LET(
_xlpm.r,SUMPRODUCT((ISNUMBER(SEARCH($C67,$C$6:$C$55)))*(CE$6:CE$55)/(LEN($C$6:$C$55)-LEN(SUBSTITUTE($C$6:$C$55,CHAR(10),""))+1)),
IF(_xlpm.r=0,"",_xlpm.r)
))</f>
        <v/>
      </c>
      <c r="CF67" s="56" t="str" cm="1">
        <f t="array" ref="CF67">IF($C67="","",_xlfn.LET(
_xlpm.r,SUMPRODUCT((ISNUMBER(SEARCH($C67,$C$6:$C$55)))*(CF$6:CF$55)/(LEN($C$6:$C$55)-LEN(SUBSTITUTE($C$6:$C$55,CHAR(10),""))+1)),
IF(_xlpm.r=0,"",_xlpm.r)
))</f>
        <v/>
      </c>
      <c r="CG67" s="56" t="str" cm="1">
        <f t="array" ref="CG67">IF($C67="","",_xlfn.LET(
_xlpm.r,SUMPRODUCT((ISNUMBER(SEARCH($C67,$C$6:$C$55)))*(CG$6:CG$55)/(LEN($C$6:$C$55)-LEN(SUBSTITUTE($C$6:$C$55,CHAR(10),""))+1)),
IF(_xlpm.r=0,"",_xlpm.r)
))</f>
        <v/>
      </c>
      <c r="CH67" s="56" t="str" cm="1">
        <f t="array" ref="CH67">IF($C67="","",_xlfn.LET(
_xlpm.r,SUMPRODUCT((ISNUMBER(SEARCH($C67,$C$6:$C$55)))*(CH$6:CH$55)/(LEN($C$6:$C$55)-LEN(SUBSTITUTE($C$6:$C$55,CHAR(10),""))+1)),
IF(_xlpm.r=0,"",_xlpm.r)
))</f>
        <v/>
      </c>
      <c r="CI67" s="56" t="str" cm="1">
        <f t="array" ref="CI67">IF($C67="","",_xlfn.LET(
_xlpm.r,SUMPRODUCT((ISNUMBER(SEARCH($C67,$C$6:$C$55)))*(CI$6:CI$55)/(LEN($C$6:$C$55)-LEN(SUBSTITUTE($C$6:$C$55,CHAR(10),""))+1)),
IF(_xlpm.r=0,"",_xlpm.r)
))</f>
        <v/>
      </c>
      <c r="CJ67" s="56" t="str" cm="1">
        <f t="array" ref="CJ67">IF($C67="","",_xlfn.LET(
_xlpm.r,SUMPRODUCT((ISNUMBER(SEARCH($C67,$C$6:$C$55)))*(CJ$6:CJ$55)/(LEN($C$6:$C$55)-LEN(SUBSTITUTE($C$6:$C$55,CHAR(10),""))+1)),
IF(_xlpm.r=0,"",_xlpm.r)
))</f>
        <v/>
      </c>
      <c r="CK67" s="56" t="str" cm="1">
        <f t="array" ref="CK67">IF($C67="","",_xlfn.LET(
_xlpm.r,SUMPRODUCT((ISNUMBER(SEARCH($C67,$C$6:$C$55)))*(CK$6:CK$55)/(LEN($C$6:$C$55)-LEN(SUBSTITUTE($C$6:$C$55,CHAR(10),""))+1)),
IF(_xlpm.r=0,"",_xlpm.r)
))</f>
        <v/>
      </c>
      <c r="CL67" s="56" t="str" cm="1">
        <f t="array" ref="CL67">IF($C67="","",_xlfn.LET(
_xlpm.r,SUMPRODUCT((ISNUMBER(SEARCH($C67,$C$6:$C$55)))*(CL$6:CL$55)/(LEN($C$6:$C$55)-LEN(SUBSTITUTE($C$6:$C$55,CHAR(10),""))+1)),
IF(_xlpm.r=0,"",_xlpm.r)
))</f>
        <v/>
      </c>
      <c r="CM67" s="56" t="str" cm="1">
        <f t="array" ref="CM67">IF($C67="","",_xlfn.LET(
_xlpm.r,SUMPRODUCT((ISNUMBER(SEARCH($C67,$C$6:$C$55)))*(CM$6:CM$55)/(LEN($C$6:$C$55)-LEN(SUBSTITUTE($C$6:$C$55,CHAR(10),""))+1)),
IF(_xlpm.r=0,"",_xlpm.r)
))</f>
        <v/>
      </c>
      <c r="CN67" s="56" t="str" cm="1">
        <f t="array" ref="CN67">IF($C67="","",_xlfn.LET(
_xlpm.r,SUMPRODUCT((ISNUMBER(SEARCH($C67,$C$6:$C$55)))*(CN$6:CN$55)/(LEN($C$6:$C$55)-LEN(SUBSTITUTE($C$6:$C$55,CHAR(10),""))+1)),
IF(_xlpm.r=0,"",_xlpm.r)
))</f>
        <v/>
      </c>
      <c r="CO67" s="56" t="str" cm="1">
        <f t="array" ref="CO67">IF($C67="","",_xlfn.LET(
_xlpm.r,SUMPRODUCT((ISNUMBER(SEARCH($C67,$C$6:$C$55)))*(CO$6:CO$55)/(LEN($C$6:$C$55)-LEN(SUBSTITUTE($C$6:$C$55,CHAR(10),""))+1)),
IF(_xlpm.r=0,"",_xlpm.r)
))</f>
        <v/>
      </c>
      <c r="CP67" s="56" t="str" cm="1">
        <f t="array" ref="CP67">IF($C67="","",_xlfn.LET(
_xlpm.r,SUMPRODUCT((ISNUMBER(SEARCH($C67,$C$6:$C$55)))*(CP$6:CP$55)/(LEN($C$6:$C$55)-LEN(SUBSTITUTE($C$6:$C$55,CHAR(10),""))+1)),
IF(_xlpm.r=0,"",_xlpm.r)
))</f>
        <v/>
      </c>
      <c r="CQ67" s="56" t="str" cm="1">
        <f t="array" ref="CQ67">IF($C67="","",_xlfn.LET(
_xlpm.r,SUMPRODUCT((ISNUMBER(SEARCH($C67,$C$6:$C$55)))*(CQ$6:CQ$55)/(LEN($C$6:$C$55)-LEN(SUBSTITUTE($C$6:$C$55,CHAR(10),""))+1)),
IF(_xlpm.r=0,"",_xlpm.r)
))</f>
        <v/>
      </c>
      <c r="CR67" s="56" t="str" cm="1">
        <f t="array" ref="CR67">IF($C67="","",_xlfn.LET(
_xlpm.r,SUMPRODUCT((ISNUMBER(SEARCH($C67,$C$6:$C$55)))*(CR$6:CR$55)/(LEN($C$6:$C$55)-LEN(SUBSTITUTE($C$6:$C$55,CHAR(10),""))+1)),
IF(_xlpm.r=0,"",_xlpm.r)
))</f>
        <v/>
      </c>
      <c r="CS67" s="56" t="str" cm="1">
        <f t="array" ref="CS67">IF($C67="","",_xlfn.LET(
_xlpm.r,SUMPRODUCT((ISNUMBER(SEARCH($C67,$C$6:$C$55)))*(CS$6:CS$55)/(LEN($C$6:$C$55)-LEN(SUBSTITUTE($C$6:$C$55,CHAR(10),""))+1)),
IF(_xlpm.r=0,"",_xlpm.r)
))</f>
        <v/>
      </c>
      <c r="CT67" s="56" t="str" cm="1">
        <f t="array" ref="CT67">IF($C67="","",_xlfn.LET(
_xlpm.r,SUMPRODUCT((ISNUMBER(SEARCH($C67,$C$6:$C$55)))*(CT$6:CT$55)/(LEN($C$6:$C$55)-LEN(SUBSTITUTE($C$6:$C$55,CHAR(10),""))+1)),
IF(_xlpm.r=0,"",_xlpm.r)
))</f>
        <v/>
      </c>
      <c r="CU67" s="56" t="str" cm="1">
        <f t="array" ref="CU67">IF($C67="","",_xlfn.LET(
_xlpm.r,SUMPRODUCT((ISNUMBER(SEARCH($C67,$C$6:$C$55)))*(CU$6:CU$55)/(LEN($C$6:$C$55)-LEN(SUBSTITUTE($C$6:$C$55,CHAR(10),""))+1)),
IF(_xlpm.r=0,"",_xlpm.r)
))</f>
        <v/>
      </c>
      <c r="CV67" s="56" t="str" cm="1">
        <f t="array" ref="CV67">IF($C67="","",_xlfn.LET(
_xlpm.r,SUMPRODUCT((ISNUMBER(SEARCH($C67,$C$6:$C$55)))*(CV$6:CV$55)/(LEN($C$6:$C$55)-LEN(SUBSTITUTE($C$6:$C$55,CHAR(10),""))+1)),
IF(_xlpm.r=0,"",_xlpm.r)
))</f>
        <v/>
      </c>
      <c r="CW67" s="56" t="str" cm="1">
        <f t="array" ref="CW67">IF($C67="","",_xlfn.LET(
_xlpm.r,SUMPRODUCT((ISNUMBER(SEARCH($C67,$C$6:$C$55)))*(CW$6:CW$55)/(LEN($C$6:$C$55)-LEN(SUBSTITUTE($C$6:$C$55,CHAR(10),""))+1)),
IF(_xlpm.r=0,"",_xlpm.r)
))</f>
        <v/>
      </c>
      <c r="CX67" s="56" t="str" cm="1">
        <f t="array" ref="CX67">IF($C67="","",_xlfn.LET(
_xlpm.r,SUMPRODUCT((ISNUMBER(SEARCH($C67,$C$6:$C$55)))*(CX$6:CX$55)/(LEN($C$6:$C$55)-LEN(SUBSTITUTE($C$6:$C$55,CHAR(10),""))+1)),
IF(_xlpm.r=0,"",_xlpm.r)
))</f>
        <v/>
      </c>
      <c r="CY67" s="56" t="str" cm="1">
        <f t="array" ref="CY67">IF($C67="","",_xlfn.LET(
_xlpm.r,SUMPRODUCT((ISNUMBER(SEARCH($C67,$C$6:$C$55)))*(CY$6:CY$55)/(LEN($C$6:$C$55)-LEN(SUBSTITUTE($C$6:$C$55,CHAR(10),""))+1)),
IF(_xlpm.r=0,"",_xlpm.r)
))</f>
        <v/>
      </c>
      <c r="CZ67" s="56" t="str" cm="1">
        <f t="array" ref="CZ67">IF($C67="","",_xlfn.LET(
_xlpm.r,SUMPRODUCT((ISNUMBER(SEARCH($C67,$C$6:$C$55)))*(CZ$6:CZ$55)/(LEN($C$6:$C$55)-LEN(SUBSTITUTE($C$6:$C$55,CHAR(10),""))+1)),
IF(_xlpm.r=0,"",_xlpm.r)
))</f>
        <v/>
      </c>
      <c r="DA67" s="56" t="str" cm="1">
        <f t="array" ref="DA67">IF($C67="","",_xlfn.LET(
_xlpm.r,SUMPRODUCT((ISNUMBER(SEARCH($C67,$C$6:$C$55)))*(DA$6:DA$55)/(LEN($C$6:$C$55)-LEN(SUBSTITUTE($C$6:$C$55,CHAR(10),""))+1)),
IF(_xlpm.r=0,"",_xlpm.r)
))</f>
        <v/>
      </c>
      <c r="DB67" s="56" t="str" cm="1">
        <f t="array" ref="DB67">IF($C67="","",_xlfn.LET(
_xlpm.r,SUMPRODUCT((ISNUMBER(SEARCH($C67,$C$6:$C$55)))*(DB$6:DB$55)/(LEN($C$6:$C$55)-LEN(SUBSTITUTE($C$6:$C$55,CHAR(10),""))+1)),
IF(_xlpm.r=0,"",_xlpm.r)
))</f>
        <v/>
      </c>
      <c r="DC67" s="56" t="str" cm="1">
        <f t="array" ref="DC67">IF($C67="","",_xlfn.LET(
_xlpm.r,SUMPRODUCT((ISNUMBER(SEARCH($C67,$C$6:$C$55)))*(DC$6:DC$55)/(LEN($C$6:$C$55)-LEN(SUBSTITUTE($C$6:$C$55,CHAR(10),""))+1)),
IF(_xlpm.r=0,"",_xlpm.r)
))</f>
        <v/>
      </c>
      <c r="DD67" s="56" t="str" cm="1">
        <f t="array" ref="DD67">IF($C67="","",_xlfn.LET(
_xlpm.r,SUMPRODUCT((ISNUMBER(SEARCH($C67,$C$6:$C$55)))*(DD$6:DD$55)/(LEN($C$6:$C$55)-LEN(SUBSTITUTE($C$6:$C$55,CHAR(10),""))+1)),
IF(_xlpm.r=0,"",_xlpm.r)
))</f>
        <v/>
      </c>
    </row>
    <row r="68" spans="3:108" x14ac:dyDescent="0.3">
      <c r="C68" s="63"/>
      <c r="D68" s="64"/>
      <c r="E68" s="61" t="str" cm="1">
        <f t="array" ref="E68">IF($C68="","",_xlfn.LET(
_xlpm.r,SUMPRODUCT((ISNUMBER(SEARCH($C68,$C$6:$C$55)))*(E$6:E$55)/(LEN($C$6:$C$55)-LEN(SUBSTITUTE($C$6:$C$55,CHAR(10),""))+1)),
IF(_xlpm.r=0,"",_xlpm.r)
))</f>
        <v/>
      </c>
      <c r="F68" s="61" t="str" cm="1">
        <f t="array" ref="F68">IF($C68="","",_xlfn.LET(
_xlpm.r,SUMPRODUCT((ISNUMBER(SEARCH($C68,$C$6:$C$55)))*(F$6:F$55)/(LEN($C$6:$C$55)-LEN(SUBSTITUTE($C$6:$C$55,CHAR(10),""))+1)),
IF(_xlpm.r=0,"",_xlpm.r)
))</f>
        <v/>
      </c>
      <c r="G68" s="61" t="str" cm="1">
        <f t="array" ref="G68">IF($C68="","",_xlfn.LET(
_xlpm.r,SUMPRODUCT((ISNUMBER(SEARCH($C68,$C$6:$C$55)))*(G$6:G$55)/(LEN($C$6:$C$55)-LEN(SUBSTITUTE($C$6:$C$55,CHAR(10),""))+1)),
IF(_xlpm.r=0,"",_xlpm.r)
))</f>
        <v/>
      </c>
      <c r="H68" s="61" t="str" cm="1">
        <f t="array" ref="H68">IF($C68="","",_xlfn.LET(
_xlpm.r,SUMPRODUCT((ISNUMBER(SEARCH($C68,$C$6:$C$55)))*(H$6:H$55)/(LEN($C$6:$C$55)-LEN(SUBSTITUTE($C$6:$C$55,CHAR(10),""))+1)),
IF(_xlpm.r=0,"",_xlpm.r)
))</f>
        <v/>
      </c>
      <c r="I68" s="61" t="str" cm="1">
        <f t="array" ref="I68">IF($C68="","",_xlfn.LET(
_xlpm.r,SUMPRODUCT((ISNUMBER(SEARCH($C68,$C$6:$C$55)))*(I$6:I$55)/(LEN($C$6:$C$55)-LEN(SUBSTITUTE($C$6:$C$55,CHAR(10),""))+1)),
IF(_xlpm.r=0,"",_xlpm.r)
))</f>
        <v/>
      </c>
      <c r="J68" s="61" t="str" cm="1">
        <f t="array" ref="J68">IF($C68="","",_xlfn.LET(
_xlpm.r,SUMPRODUCT((ISNUMBER(SEARCH($C68,$C$6:$C$55)))*(J$6:J$55)/(LEN($C$6:$C$55)-LEN(SUBSTITUTE($C$6:$C$55,CHAR(10),""))+1)),
IF(_xlpm.r=0,"",_xlpm.r)
))</f>
        <v/>
      </c>
      <c r="K68" s="61" t="str" cm="1">
        <f t="array" ref="K68">IF($C68="","",_xlfn.LET(
_xlpm.r,SUMPRODUCT((ISNUMBER(SEARCH($C68,$C$6:$C$55)))*(K$6:K$55)/(LEN($C$6:$C$55)-LEN(SUBSTITUTE($C$6:$C$55,CHAR(10),""))+1)),
IF(_xlpm.r=0,"",_xlpm.r)
))</f>
        <v/>
      </c>
      <c r="L68" s="61" t="str" cm="1">
        <f t="array" ref="L68">IF($C68="","",_xlfn.LET(
_xlpm.r,SUMPRODUCT((ISNUMBER(SEARCH($C68,$C$6:$C$55)))*(L$6:L$55)/(LEN($C$6:$C$55)-LEN(SUBSTITUTE($C$6:$C$55,CHAR(10),""))+1)),
IF(_xlpm.r=0,"",_xlpm.r)
))</f>
        <v/>
      </c>
      <c r="M68" s="61" t="str" cm="1">
        <f t="array" ref="M68">IF($C68="","",_xlfn.LET(
_xlpm.r,SUMPRODUCT((ISNUMBER(SEARCH($C68,$C$6:$C$55)))*(M$6:M$55)/(LEN($C$6:$C$55)-LEN(SUBSTITUTE($C$6:$C$55,CHAR(10),""))+1)),
IF(_xlpm.r=0,"",_xlpm.r)
))</f>
        <v/>
      </c>
      <c r="N68" s="61" t="str" cm="1">
        <f t="array" ref="N68">IF($C68="","",_xlfn.LET(
_xlpm.r,SUMPRODUCT((ISNUMBER(SEARCH($C68,$C$6:$C$55)))*(N$6:N$55)/(LEN($C$6:$C$55)-LEN(SUBSTITUTE($C$6:$C$55,CHAR(10),""))+1)),
IF(_xlpm.r=0,"",_xlpm.r)
))</f>
        <v/>
      </c>
      <c r="O68" s="61" t="str" cm="1">
        <f t="array" ref="O68">IF($C68="","",_xlfn.LET(
_xlpm.r,SUMPRODUCT((ISNUMBER(SEARCH($C68,$C$6:$C$55)))*(O$6:O$55)/(LEN($C$6:$C$55)-LEN(SUBSTITUTE($C$6:$C$55,CHAR(10),""))+1)),
IF(_xlpm.r=0,"",_xlpm.r)
))</f>
        <v/>
      </c>
      <c r="P68" s="61" t="str" cm="1">
        <f t="array" ref="P68">IF($C68="","",_xlfn.LET(
_xlpm.r,SUMPRODUCT((ISNUMBER(SEARCH($C68,$C$6:$C$55)))*(P$6:P$55)/(LEN($C$6:$C$55)-LEN(SUBSTITUTE($C$6:$C$55,CHAR(10),""))+1)),
IF(_xlpm.r=0,"",_xlpm.r)
))</f>
        <v/>
      </c>
      <c r="Q68" s="61" t="str" cm="1">
        <f t="array" ref="Q68">IF($C68="","",_xlfn.LET(
_xlpm.r,SUMPRODUCT((ISNUMBER(SEARCH($C68,$C$6:$C$55)))*(Q$6:Q$55)/(LEN($C$6:$C$55)-LEN(SUBSTITUTE($C$6:$C$55,CHAR(10),""))+1)),
IF(_xlpm.r=0,"",_xlpm.r)
))</f>
        <v/>
      </c>
      <c r="R68" s="61" t="str" cm="1">
        <f t="array" ref="R68">IF($C68="","",_xlfn.LET(
_xlpm.r,SUMPRODUCT((ISNUMBER(SEARCH($C68,$C$6:$C$55)))*(R$6:R$55)/(LEN($C$6:$C$55)-LEN(SUBSTITUTE($C$6:$C$55,CHAR(10),""))+1)),
IF(_xlpm.r=0,"",_xlpm.r)
))</f>
        <v/>
      </c>
      <c r="S68" s="61" t="str" cm="1">
        <f t="array" ref="S68">IF($C68="","",_xlfn.LET(
_xlpm.r,SUMPRODUCT((ISNUMBER(SEARCH($C68,$C$6:$C$55)))*(S$6:S$55)/(LEN($C$6:$C$55)-LEN(SUBSTITUTE($C$6:$C$55,CHAR(10),""))+1)),
IF(_xlpm.r=0,"",_xlpm.r)
))</f>
        <v/>
      </c>
      <c r="T68" s="61" t="str" cm="1">
        <f t="array" ref="T68">IF($C68="","",_xlfn.LET(
_xlpm.r,SUMPRODUCT((ISNUMBER(SEARCH($C68,$C$6:$C$55)))*(T$6:T$55)/(LEN($C$6:$C$55)-LEN(SUBSTITUTE($C$6:$C$55,CHAR(10),""))+1)),
IF(_xlpm.r=0,"",_xlpm.r)
))</f>
        <v/>
      </c>
      <c r="U68" s="61" t="str" cm="1">
        <f t="array" ref="U68">IF($C68="","",_xlfn.LET(
_xlpm.r,SUMPRODUCT((ISNUMBER(SEARCH($C68,$C$6:$C$55)))*(U$6:U$55)/(LEN($C$6:$C$55)-LEN(SUBSTITUTE($C$6:$C$55,CHAR(10),""))+1)),
IF(_xlpm.r=0,"",_xlpm.r)
))</f>
        <v/>
      </c>
      <c r="V68" s="61" t="str" cm="1">
        <f t="array" ref="V68">IF($C68="","",_xlfn.LET(
_xlpm.r,SUMPRODUCT((ISNUMBER(SEARCH($C68,$C$6:$C$55)))*(V$6:V$55)/(LEN($C$6:$C$55)-LEN(SUBSTITUTE($C$6:$C$55,CHAR(10),""))+1)),
IF(_xlpm.r=0,"",_xlpm.r)
))</f>
        <v/>
      </c>
      <c r="W68" s="61" t="str" cm="1">
        <f t="array" ref="W68">IF($C68="","",_xlfn.LET(
_xlpm.r,SUMPRODUCT((ISNUMBER(SEARCH($C68,$C$6:$C$55)))*(W$6:W$55)/(LEN($C$6:$C$55)-LEN(SUBSTITUTE($C$6:$C$55,CHAR(10),""))+1)),
IF(_xlpm.r=0,"",_xlpm.r)
))</f>
        <v/>
      </c>
      <c r="X68" s="61" t="str" cm="1">
        <f t="array" ref="X68">IF($C68="","",_xlfn.LET(
_xlpm.r,SUMPRODUCT((ISNUMBER(SEARCH($C68,$C$6:$C$55)))*(X$6:X$55)/(LEN($C$6:$C$55)-LEN(SUBSTITUTE($C$6:$C$55,CHAR(10),""))+1)),
IF(_xlpm.r=0,"",_xlpm.r)
))</f>
        <v/>
      </c>
      <c r="Y68" s="61" t="str" cm="1">
        <f t="array" ref="Y68">IF($C68="","",_xlfn.LET(
_xlpm.r,SUMPRODUCT((ISNUMBER(SEARCH($C68,$C$6:$C$55)))*(Y$6:Y$55)/(LEN($C$6:$C$55)-LEN(SUBSTITUTE($C$6:$C$55,CHAR(10),""))+1)),
IF(_xlpm.r=0,"",_xlpm.r)
))</f>
        <v/>
      </c>
      <c r="Z68" s="61" t="str" cm="1">
        <f t="array" ref="Z68">IF($C68="","",_xlfn.LET(
_xlpm.r,SUMPRODUCT((ISNUMBER(SEARCH($C68,$C$6:$C$55)))*(Z$6:Z$55)/(LEN($C$6:$C$55)-LEN(SUBSTITUTE($C$6:$C$55,CHAR(10),""))+1)),
IF(_xlpm.r=0,"",_xlpm.r)
))</f>
        <v/>
      </c>
      <c r="AA68" s="61" t="str" cm="1">
        <f t="array" ref="AA68">IF($C68="","",_xlfn.LET(
_xlpm.r,SUMPRODUCT((ISNUMBER(SEARCH($C68,$C$6:$C$55)))*(AA$6:AA$55)/(LEN($C$6:$C$55)-LEN(SUBSTITUTE($C$6:$C$55,CHAR(10),""))+1)),
IF(_xlpm.r=0,"",_xlpm.r)
))</f>
        <v/>
      </c>
      <c r="AB68" s="61" t="str" cm="1">
        <f t="array" ref="AB68">IF($C68="","",_xlfn.LET(
_xlpm.r,SUMPRODUCT((ISNUMBER(SEARCH($C68,$C$6:$C$55)))*(AB$6:AB$55)/(LEN($C$6:$C$55)-LEN(SUBSTITUTE($C$6:$C$55,CHAR(10),""))+1)),
IF(_xlpm.r=0,"",_xlpm.r)
))</f>
        <v/>
      </c>
      <c r="AC68" s="61" t="str" cm="1">
        <f t="array" ref="AC68">IF($C68="","",_xlfn.LET(
_xlpm.r,SUMPRODUCT((ISNUMBER(SEARCH($C68,$C$6:$C$55)))*(AC$6:AC$55)/(LEN($C$6:$C$55)-LEN(SUBSTITUTE($C$6:$C$55,CHAR(10),""))+1)),
IF(_xlpm.r=0,"",_xlpm.r)
))</f>
        <v/>
      </c>
      <c r="AD68" s="61" t="str" cm="1">
        <f t="array" ref="AD68">IF($C68="","",_xlfn.LET(
_xlpm.r,SUMPRODUCT((ISNUMBER(SEARCH($C68,$C$6:$C$55)))*(AD$6:AD$55)/(LEN($C$6:$C$55)-LEN(SUBSTITUTE($C$6:$C$55,CHAR(10),""))+1)),
IF(_xlpm.r=0,"",_xlpm.r)
))</f>
        <v/>
      </c>
      <c r="AE68" s="61" t="str" cm="1">
        <f t="array" ref="AE68">IF($C68="","",_xlfn.LET(
_xlpm.r,SUMPRODUCT((ISNUMBER(SEARCH($C68,$C$6:$C$55)))*(AE$6:AE$55)/(LEN($C$6:$C$55)-LEN(SUBSTITUTE($C$6:$C$55,CHAR(10),""))+1)),
IF(_xlpm.r=0,"",_xlpm.r)
))</f>
        <v/>
      </c>
      <c r="AF68" s="61" t="str" cm="1">
        <f t="array" ref="AF68">IF($C68="","",_xlfn.LET(
_xlpm.r,SUMPRODUCT((ISNUMBER(SEARCH($C68,$C$6:$C$55)))*(AF$6:AF$55)/(LEN($C$6:$C$55)-LEN(SUBSTITUTE($C$6:$C$55,CHAR(10),""))+1)),
IF(_xlpm.r=0,"",_xlpm.r)
))</f>
        <v/>
      </c>
      <c r="AG68" s="61" t="str" cm="1">
        <f t="array" ref="AG68">IF($C68="","",_xlfn.LET(
_xlpm.r,SUMPRODUCT((ISNUMBER(SEARCH($C68,$C$6:$C$55)))*(AG$6:AG$55)/(LEN($C$6:$C$55)-LEN(SUBSTITUTE($C$6:$C$55,CHAR(10),""))+1)),
IF(_xlpm.r=0,"",_xlpm.r)
))</f>
        <v/>
      </c>
      <c r="AH68" s="61" t="str" cm="1">
        <f t="array" ref="AH68">IF($C68="","",_xlfn.LET(
_xlpm.r,SUMPRODUCT((ISNUMBER(SEARCH($C68,$C$6:$C$55)))*(AH$6:AH$55)/(LEN($C$6:$C$55)-LEN(SUBSTITUTE($C$6:$C$55,CHAR(10),""))+1)),
IF(_xlpm.r=0,"",_xlpm.r)
))</f>
        <v/>
      </c>
      <c r="AI68" s="61" t="str" cm="1">
        <f t="array" ref="AI68">IF($C68="","",_xlfn.LET(
_xlpm.r,SUMPRODUCT((ISNUMBER(SEARCH($C68,$C$6:$C$55)))*(AI$6:AI$55)/(LEN($C$6:$C$55)-LEN(SUBSTITUTE($C$6:$C$55,CHAR(10),""))+1)),
IF(_xlpm.r=0,"",_xlpm.r)
))</f>
        <v/>
      </c>
      <c r="AJ68" s="61" t="str" cm="1">
        <f t="array" ref="AJ68">IF($C68="","",_xlfn.LET(
_xlpm.r,SUMPRODUCT((ISNUMBER(SEARCH($C68,$C$6:$C$55)))*(AJ$6:AJ$55)/(LEN($C$6:$C$55)-LEN(SUBSTITUTE($C$6:$C$55,CHAR(10),""))+1)),
IF(_xlpm.r=0,"",_xlpm.r)
))</f>
        <v/>
      </c>
      <c r="AK68" s="61" t="str" cm="1">
        <f t="array" ref="AK68">IF($C68="","",_xlfn.LET(
_xlpm.r,SUMPRODUCT((ISNUMBER(SEARCH($C68,$C$6:$C$55)))*(AK$6:AK$55)/(LEN($C$6:$C$55)-LEN(SUBSTITUTE($C$6:$C$55,CHAR(10),""))+1)),
IF(_xlpm.r=0,"",_xlpm.r)
))</f>
        <v/>
      </c>
      <c r="AL68" s="61" t="str" cm="1">
        <f t="array" ref="AL68">IF($C68="","",_xlfn.LET(
_xlpm.r,SUMPRODUCT((ISNUMBER(SEARCH($C68,$C$6:$C$55)))*(AL$6:AL$55)/(LEN($C$6:$C$55)-LEN(SUBSTITUTE($C$6:$C$55,CHAR(10),""))+1)),
IF(_xlpm.r=0,"",_xlpm.r)
))</f>
        <v/>
      </c>
      <c r="AM68" s="61" t="str" cm="1">
        <f t="array" ref="AM68">IF($C68="","",_xlfn.LET(
_xlpm.r,SUMPRODUCT((ISNUMBER(SEARCH($C68,$C$6:$C$55)))*(AM$6:AM$55)/(LEN($C$6:$C$55)-LEN(SUBSTITUTE($C$6:$C$55,CHAR(10),""))+1)),
IF(_xlpm.r=0,"",_xlpm.r)
))</f>
        <v/>
      </c>
      <c r="AN68" s="61" t="str" cm="1">
        <f t="array" ref="AN68">IF($C68="","",_xlfn.LET(
_xlpm.r,SUMPRODUCT((ISNUMBER(SEARCH($C68,$C$6:$C$55)))*(AN$6:AN$55)/(LEN($C$6:$C$55)-LEN(SUBSTITUTE($C$6:$C$55,CHAR(10),""))+1)),
IF(_xlpm.r=0,"",_xlpm.r)
))</f>
        <v/>
      </c>
      <c r="AO68" s="61" t="str" cm="1">
        <f t="array" ref="AO68">IF($C68="","",_xlfn.LET(
_xlpm.r,SUMPRODUCT((ISNUMBER(SEARCH($C68,$C$6:$C$55)))*(AO$6:AO$55)/(LEN($C$6:$C$55)-LEN(SUBSTITUTE($C$6:$C$55,CHAR(10),""))+1)),
IF(_xlpm.r=0,"",_xlpm.r)
))</f>
        <v/>
      </c>
      <c r="AP68" s="61" t="str" cm="1">
        <f t="array" ref="AP68">IF($C68="","",_xlfn.LET(
_xlpm.r,SUMPRODUCT((ISNUMBER(SEARCH($C68,$C$6:$C$55)))*(AP$6:AP$55)/(LEN($C$6:$C$55)-LEN(SUBSTITUTE($C$6:$C$55,CHAR(10),""))+1)),
IF(_xlpm.r=0,"",_xlpm.r)
))</f>
        <v/>
      </c>
      <c r="AQ68" s="61" t="str" cm="1">
        <f t="array" ref="AQ68">IF($C68="","",_xlfn.LET(
_xlpm.r,SUMPRODUCT((ISNUMBER(SEARCH($C68,$C$6:$C$55)))*(AQ$6:AQ$55)/(LEN($C$6:$C$55)-LEN(SUBSTITUTE($C$6:$C$55,CHAR(10),""))+1)),
IF(_xlpm.r=0,"",_xlpm.r)
))</f>
        <v/>
      </c>
      <c r="AR68" s="61" t="str" cm="1">
        <f t="array" ref="AR68">IF($C68="","",_xlfn.LET(
_xlpm.r,SUMPRODUCT((ISNUMBER(SEARCH($C68,$C$6:$C$55)))*(AR$6:AR$55)/(LEN($C$6:$C$55)-LEN(SUBSTITUTE($C$6:$C$55,CHAR(10),""))+1)),
IF(_xlpm.r=0,"",_xlpm.r)
))</f>
        <v/>
      </c>
      <c r="AS68" s="61" t="str" cm="1">
        <f t="array" ref="AS68">IF($C68="","",_xlfn.LET(
_xlpm.r,SUMPRODUCT((ISNUMBER(SEARCH($C68,$C$6:$C$55)))*(AS$6:AS$55)/(LEN($C$6:$C$55)-LEN(SUBSTITUTE($C$6:$C$55,CHAR(10),""))+1)),
IF(_xlpm.r=0,"",_xlpm.r)
))</f>
        <v/>
      </c>
      <c r="AT68" s="61" t="str" cm="1">
        <f t="array" ref="AT68">IF($C68="","",_xlfn.LET(
_xlpm.r,SUMPRODUCT((ISNUMBER(SEARCH($C68,$C$6:$C$55)))*(AT$6:AT$55)/(LEN($C$6:$C$55)-LEN(SUBSTITUTE($C$6:$C$55,CHAR(10),""))+1)),
IF(_xlpm.r=0,"",_xlpm.r)
))</f>
        <v/>
      </c>
      <c r="AU68" s="61" t="str" cm="1">
        <f t="array" ref="AU68">IF($C68="","",_xlfn.LET(
_xlpm.r,SUMPRODUCT((ISNUMBER(SEARCH($C68,$C$6:$C$55)))*(AU$6:AU$55)/(LEN($C$6:$C$55)-LEN(SUBSTITUTE($C$6:$C$55,CHAR(10),""))+1)),
IF(_xlpm.r=0,"",_xlpm.r)
))</f>
        <v/>
      </c>
      <c r="AV68" s="61" t="str" cm="1">
        <f t="array" ref="AV68">IF($C68="","",_xlfn.LET(
_xlpm.r,SUMPRODUCT((ISNUMBER(SEARCH($C68,$C$6:$C$55)))*(AV$6:AV$55)/(LEN($C$6:$C$55)-LEN(SUBSTITUTE($C$6:$C$55,CHAR(10),""))+1)),
IF(_xlpm.r=0,"",_xlpm.r)
))</f>
        <v/>
      </c>
      <c r="AW68" s="61" t="str" cm="1">
        <f t="array" ref="AW68">IF($C68="","",_xlfn.LET(
_xlpm.r,SUMPRODUCT((ISNUMBER(SEARCH($C68,$C$6:$C$55)))*(AW$6:AW$55)/(LEN($C$6:$C$55)-LEN(SUBSTITUTE($C$6:$C$55,CHAR(10),""))+1)),
IF(_xlpm.r=0,"",_xlpm.r)
))</f>
        <v/>
      </c>
      <c r="AX68" s="61" t="str" cm="1">
        <f t="array" ref="AX68">IF($C68="","",_xlfn.LET(
_xlpm.r,SUMPRODUCT((ISNUMBER(SEARCH($C68,$C$6:$C$55)))*(AX$6:AX$55)/(LEN($C$6:$C$55)-LEN(SUBSTITUTE($C$6:$C$55,CHAR(10),""))+1)),
IF(_xlpm.r=0,"",_xlpm.r)
))</f>
        <v/>
      </c>
      <c r="AY68" s="61" t="str" cm="1">
        <f t="array" ref="AY68">IF($C68="","",_xlfn.LET(
_xlpm.r,SUMPRODUCT((ISNUMBER(SEARCH($C68,$C$6:$C$55)))*(AY$6:AY$55)/(LEN($C$6:$C$55)-LEN(SUBSTITUTE($C$6:$C$55,CHAR(10),""))+1)),
IF(_xlpm.r=0,"",_xlpm.r)
))</f>
        <v/>
      </c>
      <c r="AZ68" s="61" t="str" cm="1">
        <f t="array" ref="AZ68">IF($C68="","",_xlfn.LET(
_xlpm.r,SUMPRODUCT((ISNUMBER(SEARCH($C68,$C$6:$C$55)))*(AZ$6:AZ$55)/(LEN($C$6:$C$55)-LEN(SUBSTITUTE($C$6:$C$55,CHAR(10),""))+1)),
IF(_xlpm.r=0,"",_xlpm.r)
))</f>
        <v/>
      </c>
      <c r="BA68" s="61" t="str" cm="1">
        <f t="array" ref="BA68">IF($C68="","",_xlfn.LET(
_xlpm.r,SUMPRODUCT((ISNUMBER(SEARCH($C68,$C$6:$C$55)))*(BA$6:BA$55)/(LEN($C$6:$C$55)-LEN(SUBSTITUTE($C$6:$C$55,CHAR(10),""))+1)),
IF(_xlpm.r=0,"",_xlpm.r)
))</f>
        <v/>
      </c>
      <c r="BB68" s="61" t="str" cm="1">
        <f t="array" ref="BB68">IF($C68="","",_xlfn.LET(
_xlpm.r,SUMPRODUCT((ISNUMBER(SEARCH($C68,$C$6:$C$55)))*(BB$6:BB$55)/(LEN($C$6:$C$55)-LEN(SUBSTITUTE($C$6:$C$55,CHAR(10),""))+1)),
IF(_xlpm.r=0,"",_xlpm.r)
))</f>
        <v/>
      </c>
      <c r="BC68" s="61" t="str" cm="1">
        <f t="array" ref="BC68">IF($C68="","",_xlfn.LET(
_xlpm.r,SUMPRODUCT((ISNUMBER(SEARCH($C68,$C$6:$C$55)))*(BC$6:BC$55)/(LEN($C$6:$C$55)-LEN(SUBSTITUTE($C$6:$C$55,CHAR(10),""))+1)),
IF(_xlpm.r=0,"",_xlpm.r)
))</f>
        <v/>
      </c>
      <c r="BD68" s="61" t="str" cm="1">
        <f t="array" ref="BD68">IF($C68="","",_xlfn.LET(
_xlpm.r,SUMPRODUCT((ISNUMBER(SEARCH($C68,$C$6:$C$55)))*(BD$6:BD$55)/(LEN($C$6:$C$55)-LEN(SUBSTITUTE($C$6:$C$55,CHAR(10),""))+1)),
IF(_xlpm.r=0,"",_xlpm.r)
))</f>
        <v/>
      </c>
      <c r="BE68" s="61" t="str" cm="1">
        <f t="array" ref="BE68">IF($C68="","",_xlfn.LET(
_xlpm.r,SUMPRODUCT((ISNUMBER(SEARCH($C68,$C$6:$C$55)))*(BE$6:BE$55)/(LEN($C$6:$C$55)-LEN(SUBSTITUTE($C$6:$C$55,CHAR(10),""))+1)),
IF(_xlpm.r=0,"",_xlpm.r)
))</f>
        <v/>
      </c>
      <c r="BF68" s="61" t="str" cm="1">
        <f t="array" ref="BF68">IF($C68="","",_xlfn.LET(
_xlpm.r,SUMPRODUCT((ISNUMBER(SEARCH($C68,$C$6:$C$55)))*(BF$6:BF$55)/(LEN($C$6:$C$55)-LEN(SUBSTITUTE($C$6:$C$55,CHAR(10),""))+1)),
IF(_xlpm.r=0,"",_xlpm.r)
))</f>
        <v/>
      </c>
      <c r="BG68" s="61" t="str" cm="1">
        <f t="array" ref="BG68">IF($C68="","",_xlfn.LET(
_xlpm.r,SUMPRODUCT((ISNUMBER(SEARCH($C68,$C$6:$C$55)))*(BG$6:BG$55)/(LEN($C$6:$C$55)-LEN(SUBSTITUTE($C$6:$C$55,CHAR(10),""))+1)),
IF(_xlpm.r=0,"",_xlpm.r)
))</f>
        <v/>
      </c>
      <c r="BH68" s="61" t="str" cm="1">
        <f t="array" ref="BH68">IF($C68="","",_xlfn.LET(
_xlpm.r,SUMPRODUCT((ISNUMBER(SEARCH($C68,$C$6:$C$55)))*(BH$6:BH$55)/(LEN($C$6:$C$55)-LEN(SUBSTITUTE($C$6:$C$55,CHAR(10),""))+1)),
IF(_xlpm.r=0,"",_xlpm.r)
))</f>
        <v/>
      </c>
      <c r="BI68" s="61" t="str" cm="1">
        <f t="array" ref="BI68">IF($C68="","",_xlfn.LET(
_xlpm.r,SUMPRODUCT((ISNUMBER(SEARCH($C68,$C$6:$C$55)))*(BI$6:BI$55)/(LEN($C$6:$C$55)-LEN(SUBSTITUTE($C$6:$C$55,CHAR(10),""))+1)),
IF(_xlpm.r=0,"",_xlpm.r)
))</f>
        <v/>
      </c>
      <c r="BJ68" s="61" t="str" cm="1">
        <f t="array" ref="BJ68">IF($C68="","",_xlfn.LET(
_xlpm.r,SUMPRODUCT((ISNUMBER(SEARCH($C68,$C$6:$C$55)))*(BJ$6:BJ$55)/(LEN($C$6:$C$55)-LEN(SUBSTITUTE($C$6:$C$55,CHAR(10),""))+1)),
IF(_xlpm.r=0,"",_xlpm.r)
))</f>
        <v/>
      </c>
      <c r="BK68" s="61" t="str" cm="1">
        <f t="array" ref="BK68">IF($C68="","",_xlfn.LET(
_xlpm.r,SUMPRODUCT((ISNUMBER(SEARCH($C68,$C$6:$C$55)))*(BK$6:BK$55)/(LEN($C$6:$C$55)-LEN(SUBSTITUTE($C$6:$C$55,CHAR(10),""))+1)),
IF(_xlpm.r=0,"",_xlpm.r)
))</f>
        <v/>
      </c>
      <c r="BL68" s="61" t="str" cm="1">
        <f t="array" ref="BL68">IF($C68="","",_xlfn.LET(
_xlpm.r,SUMPRODUCT((ISNUMBER(SEARCH($C68,$C$6:$C$55)))*(BL$6:BL$55)/(LEN($C$6:$C$55)-LEN(SUBSTITUTE($C$6:$C$55,CHAR(10),""))+1)),
IF(_xlpm.r=0,"",_xlpm.r)
))</f>
        <v/>
      </c>
      <c r="BM68" s="61" t="str" cm="1">
        <f t="array" ref="BM68">IF($C68="","",_xlfn.LET(
_xlpm.r,SUMPRODUCT((ISNUMBER(SEARCH($C68,$C$6:$C$55)))*(BM$6:BM$55)/(LEN($C$6:$C$55)-LEN(SUBSTITUTE($C$6:$C$55,CHAR(10),""))+1)),
IF(_xlpm.r=0,"",_xlpm.r)
))</f>
        <v/>
      </c>
      <c r="BN68" s="61" t="str" cm="1">
        <f t="array" ref="BN68">IF($C68="","",_xlfn.LET(
_xlpm.r,SUMPRODUCT((ISNUMBER(SEARCH($C68,$C$6:$C$55)))*(BN$6:BN$55)/(LEN($C$6:$C$55)-LEN(SUBSTITUTE($C$6:$C$55,CHAR(10),""))+1)),
IF(_xlpm.r=0,"",_xlpm.r)
))</f>
        <v/>
      </c>
      <c r="BO68" s="61" t="str" cm="1">
        <f t="array" ref="BO68">IF($C68="","",_xlfn.LET(
_xlpm.r,SUMPRODUCT((ISNUMBER(SEARCH($C68,$C$6:$C$55)))*(BO$6:BO$55)/(LEN($C$6:$C$55)-LEN(SUBSTITUTE($C$6:$C$55,CHAR(10),""))+1)),
IF(_xlpm.r=0,"",_xlpm.r)
))</f>
        <v/>
      </c>
      <c r="BP68" s="61" t="str" cm="1">
        <f t="array" ref="BP68">IF($C68="","",_xlfn.LET(
_xlpm.r,SUMPRODUCT((ISNUMBER(SEARCH($C68,$C$6:$C$55)))*(BP$6:BP$55)/(LEN($C$6:$C$55)-LEN(SUBSTITUTE($C$6:$C$55,CHAR(10),""))+1)),
IF(_xlpm.r=0,"",_xlpm.r)
))</f>
        <v/>
      </c>
      <c r="BQ68" s="61" t="str" cm="1">
        <f t="array" ref="BQ68">IF($C68="","",_xlfn.LET(
_xlpm.r,SUMPRODUCT((ISNUMBER(SEARCH($C68,$C$6:$C$55)))*(BQ$6:BQ$55)/(LEN($C$6:$C$55)-LEN(SUBSTITUTE($C$6:$C$55,CHAR(10),""))+1)),
IF(_xlpm.r=0,"",_xlpm.r)
))</f>
        <v/>
      </c>
      <c r="BR68" s="61" t="str" cm="1">
        <f t="array" ref="BR68">IF($C68="","",_xlfn.LET(
_xlpm.r,SUMPRODUCT((ISNUMBER(SEARCH($C68,$C$6:$C$55)))*(BR$6:BR$55)/(LEN($C$6:$C$55)-LEN(SUBSTITUTE($C$6:$C$55,CHAR(10),""))+1)),
IF(_xlpm.r=0,"",_xlpm.r)
))</f>
        <v/>
      </c>
      <c r="BS68" s="61" t="str" cm="1">
        <f t="array" ref="BS68">IF($C68="","",_xlfn.LET(
_xlpm.r,SUMPRODUCT((ISNUMBER(SEARCH($C68,$C$6:$C$55)))*(BS$6:BS$55)/(LEN($C$6:$C$55)-LEN(SUBSTITUTE($C$6:$C$55,CHAR(10),""))+1)),
IF(_xlpm.r=0,"",_xlpm.r)
))</f>
        <v/>
      </c>
      <c r="BT68" s="61" t="str" cm="1">
        <f t="array" ref="BT68">IF($C68="","",_xlfn.LET(
_xlpm.r,SUMPRODUCT((ISNUMBER(SEARCH($C68,$C$6:$C$55)))*(BT$6:BT$55)/(LEN($C$6:$C$55)-LEN(SUBSTITUTE($C$6:$C$55,CHAR(10),""))+1)),
IF(_xlpm.r=0,"",_xlpm.r)
))</f>
        <v/>
      </c>
      <c r="BU68" s="61" t="str" cm="1">
        <f t="array" ref="BU68">IF($C68="","",_xlfn.LET(
_xlpm.r,SUMPRODUCT((ISNUMBER(SEARCH($C68,$C$6:$C$55)))*(BU$6:BU$55)/(LEN($C$6:$C$55)-LEN(SUBSTITUTE($C$6:$C$55,CHAR(10),""))+1)),
IF(_xlpm.r=0,"",_xlpm.r)
))</f>
        <v/>
      </c>
      <c r="BV68" s="61" t="str" cm="1">
        <f t="array" ref="BV68">IF($C68="","",_xlfn.LET(
_xlpm.r,SUMPRODUCT((ISNUMBER(SEARCH($C68,$C$6:$C$55)))*(BV$6:BV$55)/(LEN($C$6:$C$55)-LEN(SUBSTITUTE($C$6:$C$55,CHAR(10),""))+1)),
IF(_xlpm.r=0,"",_xlpm.r)
))</f>
        <v/>
      </c>
      <c r="BW68" s="61" t="str" cm="1">
        <f t="array" ref="BW68">IF($C68="","",_xlfn.LET(
_xlpm.r,SUMPRODUCT((ISNUMBER(SEARCH($C68,$C$6:$C$55)))*(BW$6:BW$55)/(LEN($C$6:$C$55)-LEN(SUBSTITUTE($C$6:$C$55,CHAR(10),""))+1)),
IF(_xlpm.r=0,"",_xlpm.r)
))</f>
        <v/>
      </c>
      <c r="BX68" s="61" t="str" cm="1">
        <f t="array" ref="BX68">IF($C68="","",_xlfn.LET(
_xlpm.r,SUMPRODUCT((ISNUMBER(SEARCH($C68,$C$6:$C$55)))*(BX$6:BX$55)/(LEN($C$6:$C$55)-LEN(SUBSTITUTE($C$6:$C$55,CHAR(10),""))+1)),
IF(_xlpm.r=0,"",_xlpm.r)
))</f>
        <v/>
      </c>
      <c r="BY68" s="61" t="str" cm="1">
        <f t="array" ref="BY68">IF($C68="","",_xlfn.LET(
_xlpm.r,SUMPRODUCT((ISNUMBER(SEARCH($C68,$C$6:$C$55)))*(BY$6:BY$55)/(LEN($C$6:$C$55)-LEN(SUBSTITUTE($C$6:$C$55,CHAR(10),""))+1)),
IF(_xlpm.r=0,"",_xlpm.r)
))</f>
        <v/>
      </c>
      <c r="BZ68" s="61" t="str" cm="1">
        <f t="array" ref="BZ68">IF($C68="","",_xlfn.LET(
_xlpm.r,SUMPRODUCT((ISNUMBER(SEARCH($C68,$C$6:$C$55)))*(BZ$6:BZ$55)/(LEN($C$6:$C$55)-LEN(SUBSTITUTE($C$6:$C$55,CHAR(10),""))+1)),
IF(_xlpm.r=0,"",_xlpm.r)
))</f>
        <v/>
      </c>
      <c r="CA68" s="61" t="str" cm="1">
        <f t="array" ref="CA68">IF($C68="","",_xlfn.LET(
_xlpm.r,SUMPRODUCT((ISNUMBER(SEARCH($C68,$C$6:$C$55)))*(CA$6:CA$55)/(LEN($C$6:$C$55)-LEN(SUBSTITUTE($C$6:$C$55,CHAR(10),""))+1)),
IF(_xlpm.r=0,"",_xlpm.r)
))</f>
        <v/>
      </c>
      <c r="CB68" s="61" t="str" cm="1">
        <f t="array" ref="CB68">IF($C68="","",_xlfn.LET(
_xlpm.r,SUMPRODUCT((ISNUMBER(SEARCH($C68,$C$6:$C$55)))*(CB$6:CB$55)/(LEN($C$6:$C$55)-LEN(SUBSTITUTE($C$6:$C$55,CHAR(10),""))+1)),
IF(_xlpm.r=0,"",_xlpm.r)
))</f>
        <v/>
      </c>
      <c r="CC68" s="61" t="str" cm="1">
        <f t="array" ref="CC68">IF($C68="","",_xlfn.LET(
_xlpm.r,SUMPRODUCT((ISNUMBER(SEARCH($C68,$C$6:$C$55)))*(CC$6:CC$55)/(LEN($C$6:$C$55)-LEN(SUBSTITUTE($C$6:$C$55,CHAR(10),""))+1)),
IF(_xlpm.r=0,"",_xlpm.r)
))</f>
        <v/>
      </c>
      <c r="CD68" s="61" t="str" cm="1">
        <f t="array" ref="CD68">IF($C68="","",_xlfn.LET(
_xlpm.r,SUMPRODUCT((ISNUMBER(SEARCH($C68,$C$6:$C$55)))*(CD$6:CD$55)/(LEN($C$6:$C$55)-LEN(SUBSTITUTE($C$6:$C$55,CHAR(10),""))+1)),
IF(_xlpm.r=0,"",_xlpm.r)
))</f>
        <v/>
      </c>
      <c r="CE68" s="61" t="str" cm="1">
        <f t="array" ref="CE68">IF($C68="","",_xlfn.LET(
_xlpm.r,SUMPRODUCT((ISNUMBER(SEARCH($C68,$C$6:$C$55)))*(CE$6:CE$55)/(LEN($C$6:$C$55)-LEN(SUBSTITUTE($C$6:$C$55,CHAR(10),""))+1)),
IF(_xlpm.r=0,"",_xlpm.r)
))</f>
        <v/>
      </c>
      <c r="CF68" s="61" t="str" cm="1">
        <f t="array" ref="CF68">IF($C68="","",_xlfn.LET(
_xlpm.r,SUMPRODUCT((ISNUMBER(SEARCH($C68,$C$6:$C$55)))*(CF$6:CF$55)/(LEN($C$6:$C$55)-LEN(SUBSTITUTE($C$6:$C$55,CHAR(10),""))+1)),
IF(_xlpm.r=0,"",_xlpm.r)
))</f>
        <v/>
      </c>
      <c r="CG68" s="61" t="str" cm="1">
        <f t="array" ref="CG68">IF($C68="","",_xlfn.LET(
_xlpm.r,SUMPRODUCT((ISNUMBER(SEARCH($C68,$C$6:$C$55)))*(CG$6:CG$55)/(LEN($C$6:$C$55)-LEN(SUBSTITUTE($C$6:$C$55,CHAR(10),""))+1)),
IF(_xlpm.r=0,"",_xlpm.r)
))</f>
        <v/>
      </c>
      <c r="CH68" s="61" t="str" cm="1">
        <f t="array" ref="CH68">IF($C68="","",_xlfn.LET(
_xlpm.r,SUMPRODUCT((ISNUMBER(SEARCH($C68,$C$6:$C$55)))*(CH$6:CH$55)/(LEN($C$6:$C$55)-LEN(SUBSTITUTE($C$6:$C$55,CHAR(10),""))+1)),
IF(_xlpm.r=0,"",_xlpm.r)
))</f>
        <v/>
      </c>
      <c r="CI68" s="61" t="str" cm="1">
        <f t="array" ref="CI68">IF($C68="","",_xlfn.LET(
_xlpm.r,SUMPRODUCT((ISNUMBER(SEARCH($C68,$C$6:$C$55)))*(CI$6:CI$55)/(LEN($C$6:$C$55)-LEN(SUBSTITUTE($C$6:$C$55,CHAR(10),""))+1)),
IF(_xlpm.r=0,"",_xlpm.r)
))</f>
        <v/>
      </c>
      <c r="CJ68" s="61" t="str" cm="1">
        <f t="array" ref="CJ68">IF($C68="","",_xlfn.LET(
_xlpm.r,SUMPRODUCT((ISNUMBER(SEARCH($C68,$C$6:$C$55)))*(CJ$6:CJ$55)/(LEN($C$6:$C$55)-LEN(SUBSTITUTE($C$6:$C$55,CHAR(10),""))+1)),
IF(_xlpm.r=0,"",_xlpm.r)
))</f>
        <v/>
      </c>
      <c r="CK68" s="61" t="str" cm="1">
        <f t="array" ref="CK68">IF($C68="","",_xlfn.LET(
_xlpm.r,SUMPRODUCT((ISNUMBER(SEARCH($C68,$C$6:$C$55)))*(CK$6:CK$55)/(LEN($C$6:$C$55)-LEN(SUBSTITUTE($C$6:$C$55,CHAR(10),""))+1)),
IF(_xlpm.r=0,"",_xlpm.r)
))</f>
        <v/>
      </c>
      <c r="CL68" s="61" t="str" cm="1">
        <f t="array" ref="CL68">IF($C68="","",_xlfn.LET(
_xlpm.r,SUMPRODUCT((ISNUMBER(SEARCH($C68,$C$6:$C$55)))*(CL$6:CL$55)/(LEN($C$6:$C$55)-LEN(SUBSTITUTE($C$6:$C$55,CHAR(10),""))+1)),
IF(_xlpm.r=0,"",_xlpm.r)
))</f>
        <v/>
      </c>
      <c r="CM68" s="61" t="str" cm="1">
        <f t="array" ref="CM68">IF($C68="","",_xlfn.LET(
_xlpm.r,SUMPRODUCT((ISNUMBER(SEARCH($C68,$C$6:$C$55)))*(CM$6:CM$55)/(LEN($C$6:$C$55)-LEN(SUBSTITUTE($C$6:$C$55,CHAR(10),""))+1)),
IF(_xlpm.r=0,"",_xlpm.r)
))</f>
        <v/>
      </c>
      <c r="CN68" s="61" t="str" cm="1">
        <f t="array" ref="CN68">IF($C68="","",_xlfn.LET(
_xlpm.r,SUMPRODUCT((ISNUMBER(SEARCH($C68,$C$6:$C$55)))*(CN$6:CN$55)/(LEN($C$6:$C$55)-LEN(SUBSTITUTE($C$6:$C$55,CHAR(10),""))+1)),
IF(_xlpm.r=0,"",_xlpm.r)
))</f>
        <v/>
      </c>
      <c r="CO68" s="61" t="str" cm="1">
        <f t="array" ref="CO68">IF($C68="","",_xlfn.LET(
_xlpm.r,SUMPRODUCT((ISNUMBER(SEARCH($C68,$C$6:$C$55)))*(CO$6:CO$55)/(LEN($C$6:$C$55)-LEN(SUBSTITUTE($C$6:$C$55,CHAR(10),""))+1)),
IF(_xlpm.r=0,"",_xlpm.r)
))</f>
        <v/>
      </c>
      <c r="CP68" s="61" t="str" cm="1">
        <f t="array" ref="CP68">IF($C68="","",_xlfn.LET(
_xlpm.r,SUMPRODUCT((ISNUMBER(SEARCH($C68,$C$6:$C$55)))*(CP$6:CP$55)/(LEN($C$6:$C$55)-LEN(SUBSTITUTE($C$6:$C$55,CHAR(10),""))+1)),
IF(_xlpm.r=0,"",_xlpm.r)
))</f>
        <v/>
      </c>
      <c r="CQ68" s="61" t="str" cm="1">
        <f t="array" ref="CQ68">IF($C68="","",_xlfn.LET(
_xlpm.r,SUMPRODUCT((ISNUMBER(SEARCH($C68,$C$6:$C$55)))*(CQ$6:CQ$55)/(LEN($C$6:$C$55)-LEN(SUBSTITUTE($C$6:$C$55,CHAR(10),""))+1)),
IF(_xlpm.r=0,"",_xlpm.r)
))</f>
        <v/>
      </c>
      <c r="CR68" s="61" t="str" cm="1">
        <f t="array" ref="CR68">IF($C68="","",_xlfn.LET(
_xlpm.r,SUMPRODUCT((ISNUMBER(SEARCH($C68,$C$6:$C$55)))*(CR$6:CR$55)/(LEN($C$6:$C$55)-LEN(SUBSTITUTE($C$6:$C$55,CHAR(10),""))+1)),
IF(_xlpm.r=0,"",_xlpm.r)
))</f>
        <v/>
      </c>
      <c r="CS68" s="61" t="str" cm="1">
        <f t="array" ref="CS68">IF($C68="","",_xlfn.LET(
_xlpm.r,SUMPRODUCT((ISNUMBER(SEARCH($C68,$C$6:$C$55)))*(CS$6:CS$55)/(LEN($C$6:$C$55)-LEN(SUBSTITUTE($C$6:$C$55,CHAR(10),""))+1)),
IF(_xlpm.r=0,"",_xlpm.r)
))</f>
        <v/>
      </c>
      <c r="CT68" s="61" t="str" cm="1">
        <f t="array" ref="CT68">IF($C68="","",_xlfn.LET(
_xlpm.r,SUMPRODUCT((ISNUMBER(SEARCH($C68,$C$6:$C$55)))*(CT$6:CT$55)/(LEN($C$6:$C$55)-LEN(SUBSTITUTE($C$6:$C$55,CHAR(10),""))+1)),
IF(_xlpm.r=0,"",_xlpm.r)
))</f>
        <v/>
      </c>
      <c r="CU68" s="61" t="str" cm="1">
        <f t="array" ref="CU68">IF($C68="","",_xlfn.LET(
_xlpm.r,SUMPRODUCT((ISNUMBER(SEARCH($C68,$C$6:$C$55)))*(CU$6:CU$55)/(LEN($C$6:$C$55)-LEN(SUBSTITUTE($C$6:$C$55,CHAR(10),""))+1)),
IF(_xlpm.r=0,"",_xlpm.r)
))</f>
        <v/>
      </c>
      <c r="CV68" s="61" t="str" cm="1">
        <f t="array" ref="CV68">IF($C68="","",_xlfn.LET(
_xlpm.r,SUMPRODUCT((ISNUMBER(SEARCH($C68,$C$6:$C$55)))*(CV$6:CV$55)/(LEN($C$6:$C$55)-LEN(SUBSTITUTE($C$6:$C$55,CHAR(10),""))+1)),
IF(_xlpm.r=0,"",_xlpm.r)
))</f>
        <v/>
      </c>
      <c r="CW68" s="61" t="str" cm="1">
        <f t="array" ref="CW68">IF($C68="","",_xlfn.LET(
_xlpm.r,SUMPRODUCT((ISNUMBER(SEARCH($C68,$C$6:$C$55)))*(CW$6:CW$55)/(LEN($C$6:$C$55)-LEN(SUBSTITUTE($C$6:$C$55,CHAR(10),""))+1)),
IF(_xlpm.r=0,"",_xlpm.r)
))</f>
        <v/>
      </c>
      <c r="CX68" s="61" t="str" cm="1">
        <f t="array" ref="CX68">IF($C68="","",_xlfn.LET(
_xlpm.r,SUMPRODUCT((ISNUMBER(SEARCH($C68,$C$6:$C$55)))*(CX$6:CX$55)/(LEN($C$6:$C$55)-LEN(SUBSTITUTE($C$6:$C$55,CHAR(10),""))+1)),
IF(_xlpm.r=0,"",_xlpm.r)
))</f>
        <v/>
      </c>
      <c r="CY68" s="61" t="str" cm="1">
        <f t="array" ref="CY68">IF($C68="","",_xlfn.LET(
_xlpm.r,SUMPRODUCT((ISNUMBER(SEARCH($C68,$C$6:$C$55)))*(CY$6:CY$55)/(LEN($C$6:$C$55)-LEN(SUBSTITUTE($C$6:$C$55,CHAR(10),""))+1)),
IF(_xlpm.r=0,"",_xlpm.r)
))</f>
        <v/>
      </c>
      <c r="CZ68" s="61" t="str" cm="1">
        <f t="array" ref="CZ68">IF($C68="","",_xlfn.LET(
_xlpm.r,SUMPRODUCT((ISNUMBER(SEARCH($C68,$C$6:$C$55)))*(CZ$6:CZ$55)/(LEN($C$6:$C$55)-LEN(SUBSTITUTE($C$6:$C$55,CHAR(10),""))+1)),
IF(_xlpm.r=0,"",_xlpm.r)
))</f>
        <v/>
      </c>
      <c r="DA68" s="61" t="str" cm="1">
        <f t="array" ref="DA68">IF($C68="","",_xlfn.LET(
_xlpm.r,SUMPRODUCT((ISNUMBER(SEARCH($C68,$C$6:$C$55)))*(DA$6:DA$55)/(LEN($C$6:$C$55)-LEN(SUBSTITUTE($C$6:$C$55,CHAR(10),""))+1)),
IF(_xlpm.r=0,"",_xlpm.r)
))</f>
        <v/>
      </c>
      <c r="DB68" s="61" t="str" cm="1">
        <f t="array" ref="DB68">IF($C68="","",_xlfn.LET(
_xlpm.r,SUMPRODUCT((ISNUMBER(SEARCH($C68,$C$6:$C$55)))*(DB$6:DB$55)/(LEN($C$6:$C$55)-LEN(SUBSTITUTE($C$6:$C$55,CHAR(10),""))+1)),
IF(_xlpm.r=0,"",_xlpm.r)
))</f>
        <v/>
      </c>
      <c r="DC68" s="61" t="str" cm="1">
        <f t="array" ref="DC68">IF($C68="","",_xlfn.LET(
_xlpm.r,SUMPRODUCT((ISNUMBER(SEARCH($C68,$C$6:$C$55)))*(DC$6:DC$55)/(LEN($C$6:$C$55)-LEN(SUBSTITUTE($C$6:$C$55,CHAR(10),""))+1)),
IF(_xlpm.r=0,"",_xlpm.r)
))</f>
        <v/>
      </c>
      <c r="DD68" s="61" t="str" cm="1">
        <f t="array" ref="DD68">IF($C68="","",_xlfn.LET(
_xlpm.r,SUMPRODUCT((ISNUMBER(SEARCH($C68,$C$6:$C$55)))*(DD$6:DD$55)/(LEN($C$6:$C$55)-LEN(SUBSTITUTE($C$6:$C$55,CHAR(10),""))+1)),
IF(_xlpm.r=0,"",_xlpm.r)
))</f>
        <v/>
      </c>
    </row>
    <row r="69" spans="3:108" x14ac:dyDescent="0.3">
      <c r="C69" s="3"/>
      <c r="D69" s="44"/>
      <c r="E69" s="56" t="str" cm="1">
        <f t="array" ref="E69">IF($C69="","",_xlfn.LET(
_xlpm.r,SUMPRODUCT((ISNUMBER(SEARCH($C69,$C$6:$C$55)))*(E$6:E$55)/(LEN($C$6:$C$55)-LEN(SUBSTITUTE($C$6:$C$55,CHAR(10),""))+1)),
IF(_xlpm.r=0,"",_xlpm.r)
))</f>
        <v/>
      </c>
      <c r="F69" s="56" t="str" cm="1">
        <f t="array" ref="F69">IF($C69="","",_xlfn.LET(
_xlpm.r,SUMPRODUCT((ISNUMBER(SEARCH($C69,$C$6:$C$55)))*(F$6:F$55)/(LEN($C$6:$C$55)-LEN(SUBSTITUTE($C$6:$C$55,CHAR(10),""))+1)),
IF(_xlpm.r=0,"",_xlpm.r)
))</f>
        <v/>
      </c>
      <c r="G69" s="56" t="str" cm="1">
        <f t="array" ref="G69">IF($C69="","",_xlfn.LET(
_xlpm.r,SUMPRODUCT((ISNUMBER(SEARCH($C69,$C$6:$C$55)))*(G$6:G$55)/(LEN($C$6:$C$55)-LEN(SUBSTITUTE($C$6:$C$55,CHAR(10),""))+1)),
IF(_xlpm.r=0,"",_xlpm.r)
))</f>
        <v/>
      </c>
      <c r="H69" s="56" t="str" cm="1">
        <f t="array" ref="H69">IF($C69="","",_xlfn.LET(
_xlpm.r,SUMPRODUCT((ISNUMBER(SEARCH($C69,$C$6:$C$55)))*(H$6:H$55)/(LEN($C$6:$C$55)-LEN(SUBSTITUTE($C$6:$C$55,CHAR(10),""))+1)),
IF(_xlpm.r=0,"",_xlpm.r)
))</f>
        <v/>
      </c>
      <c r="I69" s="56" t="str" cm="1">
        <f t="array" ref="I69">IF($C69="","",_xlfn.LET(
_xlpm.r,SUMPRODUCT((ISNUMBER(SEARCH($C69,$C$6:$C$55)))*(I$6:I$55)/(LEN($C$6:$C$55)-LEN(SUBSTITUTE($C$6:$C$55,CHAR(10),""))+1)),
IF(_xlpm.r=0,"",_xlpm.r)
))</f>
        <v/>
      </c>
      <c r="J69" s="56" t="str" cm="1">
        <f t="array" ref="J69">IF($C69="","",_xlfn.LET(
_xlpm.r,SUMPRODUCT((ISNUMBER(SEARCH($C69,$C$6:$C$55)))*(J$6:J$55)/(LEN($C$6:$C$55)-LEN(SUBSTITUTE($C$6:$C$55,CHAR(10),""))+1)),
IF(_xlpm.r=0,"",_xlpm.r)
))</f>
        <v/>
      </c>
      <c r="K69" s="56" t="str" cm="1">
        <f t="array" ref="K69">IF($C69="","",_xlfn.LET(
_xlpm.r,SUMPRODUCT((ISNUMBER(SEARCH($C69,$C$6:$C$55)))*(K$6:K$55)/(LEN($C$6:$C$55)-LEN(SUBSTITUTE($C$6:$C$55,CHAR(10),""))+1)),
IF(_xlpm.r=0,"",_xlpm.r)
))</f>
        <v/>
      </c>
      <c r="L69" s="56" t="str" cm="1">
        <f t="array" ref="L69">IF($C69="","",_xlfn.LET(
_xlpm.r,SUMPRODUCT((ISNUMBER(SEARCH($C69,$C$6:$C$55)))*(L$6:L$55)/(LEN($C$6:$C$55)-LEN(SUBSTITUTE($C$6:$C$55,CHAR(10),""))+1)),
IF(_xlpm.r=0,"",_xlpm.r)
))</f>
        <v/>
      </c>
      <c r="M69" s="56" t="str" cm="1">
        <f t="array" ref="M69">IF($C69="","",_xlfn.LET(
_xlpm.r,SUMPRODUCT((ISNUMBER(SEARCH($C69,$C$6:$C$55)))*(M$6:M$55)/(LEN($C$6:$C$55)-LEN(SUBSTITUTE($C$6:$C$55,CHAR(10),""))+1)),
IF(_xlpm.r=0,"",_xlpm.r)
))</f>
        <v/>
      </c>
      <c r="N69" s="56" t="str" cm="1">
        <f t="array" ref="N69">IF($C69="","",_xlfn.LET(
_xlpm.r,SUMPRODUCT((ISNUMBER(SEARCH($C69,$C$6:$C$55)))*(N$6:N$55)/(LEN($C$6:$C$55)-LEN(SUBSTITUTE($C$6:$C$55,CHAR(10),""))+1)),
IF(_xlpm.r=0,"",_xlpm.r)
))</f>
        <v/>
      </c>
      <c r="O69" s="56" t="str" cm="1">
        <f t="array" ref="O69">IF($C69="","",_xlfn.LET(
_xlpm.r,SUMPRODUCT((ISNUMBER(SEARCH($C69,$C$6:$C$55)))*(O$6:O$55)/(LEN($C$6:$C$55)-LEN(SUBSTITUTE($C$6:$C$55,CHAR(10),""))+1)),
IF(_xlpm.r=0,"",_xlpm.r)
))</f>
        <v/>
      </c>
      <c r="P69" s="56" t="str" cm="1">
        <f t="array" ref="P69">IF($C69="","",_xlfn.LET(
_xlpm.r,SUMPRODUCT((ISNUMBER(SEARCH($C69,$C$6:$C$55)))*(P$6:P$55)/(LEN($C$6:$C$55)-LEN(SUBSTITUTE($C$6:$C$55,CHAR(10),""))+1)),
IF(_xlpm.r=0,"",_xlpm.r)
))</f>
        <v/>
      </c>
      <c r="Q69" s="56" t="str" cm="1">
        <f t="array" ref="Q69">IF($C69="","",_xlfn.LET(
_xlpm.r,SUMPRODUCT((ISNUMBER(SEARCH($C69,$C$6:$C$55)))*(Q$6:Q$55)/(LEN($C$6:$C$55)-LEN(SUBSTITUTE($C$6:$C$55,CHAR(10),""))+1)),
IF(_xlpm.r=0,"",_xlpm.r)
))</f>
        <v/>
      </c>
      <c r="R69" s="56" t="str" cm="1">
        <f t="array" ref="R69">IF($C69="","",_xlfn.LET(
_xlpm.r,SUMPRODUCT((ISNUMBER(SEARCH($C69,$C$6:$C$55)))*(R$6:R$55)/(LEN($C$6:$C$55)-LEN(SUBSTITUTE($C$6:$C$55,CHAR(10),""))+1)),
IF(_xlpm.r=0,"",_xlpm.r)
))</f>
        <v/>
      </c>
      <c r="S69" s="56" t="str" cm="1">
        <f t="array" ref="S69">IF($C69="","",_xlfn.LET(
_xlpm.r,SUMPRODUCT((ISNUMBER(SEARCH($C69,$C$6:$C$55)))*(S$6:S$55)/(LEN($C$6:$C$55)-LEN(SUBSTITUTE($C$6:$C$55,CHAR(10),""))+1)),
IF(_xlpm.r=0,"",_xlpm.r)
))</f>
        <v/>
      </c>
      <c r="T69" s="56" t="str" cm="1">
        <f t="array" ref="T69">IF($C69="","",_xlfn.LET(
_xlpm.r,SUMPRODUCT((ISNUMBER(SEARCH($C69,$C$6:$C$55)))*(T$6:T$55)/(LEN($C$6:$C$55)-LEN(SUBSTITUTE($C$6:$C$55,CHAR(10),""))+1)),
IF(_xlpm.r=0,"",_xlpm.r)
))</f>
        <v/>
      </c>
      <c r="U69" s="56" t="str" cm="1">
        <f t="array" ref="U69">IF($C69="","",_xlfn.LET(
_xlpm.r,SUMPRODUCT((ISNUMBER(SEARCH($C69,$C$6:$C$55)))*(U$6:U$55)/(LEN($C$6:$C$55)-LEN(SUBSTITUTE($C$6:$C$55,CHAR(10),""))+1)),
IF(_xlpm.r=0,"",_xlpm.r)
))</f>
        <v/>
      </c>
      <c r="V69" s="56" t="str" cm="1">
        <f t="array" ref="V69">IF($C69="","",_xlfn.LET(
_xlpm.r,SUMPRODUCT((ISNUMBER(SEARCH($C69,$C$6:$C$55)))*(V$6:V$55)/(LEN($C$6:$C$55)-LEN(SUBSTITUTE($C$6:$C$55,CHAR(10),""))+1)),
IF(_xlpm.r=0,"",_xlpm.r)
))</f>
        <v/>
      </c>
      <c r="W69" s="56" t="str" cm="1">
        <f t="array" ref="W69">IF($C69="","",_xlfn.LET(
_xlpm.r,SUMPRODUCT((ISNUMBER(SEARCH($C69,$C$6:$C$55)))*(W$6:W$55)/(LEN($C$6:$C$55)-LEN(SUBSTITUTE($C$6:$C$55,CHAR(10),""))+1)),
IF(_xlpm.r=0,"",_xlpm.r)
))</f>
        <v/>
      </c>
      <c r="X69" s="56" t="str" cm="1">
        <f t="array" ref="X69">IF($C69="","",_xlfn.LET(
_xlpm.r,SUMPRODUCT((ISNUMBER(SEARCH($C69,$C$6:$C$55)))*(X$6:X$55)/(LEN($C$6:$C$55)-LEN(SUBSTITUTE($C$6:$C$55,CHAR(10),""))+1)),
IF(_xlpm.r=0,"",_xlpm.r)
))</f>
        <v/>
      </c>
      <c r="Y69" s="56" t="str" cm="1">
        <f t="array" ref="Y69">IF($C69="","",_xlfn.LET(
_xlpm.r,SUMPRODUCT((ISNUMBER(SEARCH($C69,$C$6:$C$55)))*(Y$6:Y$55)/(LEN($C$6:$C$55)-LEN(SUBSTITUTE($C$6:$C$55,CHAR(10),""))+1)),
IF(_xlpm.r=0,"",_xlpm.r)
))</f>
        <v/>
      </c>
      <c r="Z69" s="56" t="str" cm="1">
        <f t="array" ref="Z69">IF($C69="","",_xlfn.LET(
_xlpm.r,SUMPRODUCT((ISNUMBER(SEARCH($C69,$C$6:$C$55)))*(Z$6:Z$55)/(LEN($C$6:$C$55)-LEN(SUBSTITUTE($C$6:$C$55,CHAR(10),""))+1)),
IF(_xlpm.r=0,"",_xlpm.r)
))</f>
        <v/>
      </c>
      <c r="AA69" s="56" t="str" cm="1">
        <f t="array" ref="AA69">IF($C69="","",_xlfn.LET(
_xlpm.r,SUMPRODUCT((ISNUMBER(SEARCH($C69,$C$6:$C$55)))*(AA$6:AA$55)/(LEN($C$6:$C$55)-LEN(SUBSTITUTE($C$6:$C$55,CHAR(10),""))+1)),
IF(_xlpm.r=0,"",_xlpm.r)
))</f>
        <v/>
      </c>
      <c r="AB69" s="56" t="str" cm="1">
        <f t="array" ref="AB69">IF($C69="","",_xlfn.LET(
_xlpm.r,SUMPRODUCT((ISNUMBER(SEARCH($C69,$C$6:$C$55)))*(AB$6:AB$55)/(LEN($C$6:$C$55)-LEN(SUBSTITUTE($C$6:$C$55,CHAR(10),""))+1)),
IF(_xlpm.r=0,"",_xlpm.r)
))</f>
        <v/>
      </c>
      <c r="AC69" s="56" t="str" cm="1">
        <f t="array" ref="AC69">IF($C69="","",_xlfn.LET(
_xlpm.r,SUMPRODUCT((ISNUMBER(SEARCH($C69,$C$6:$C$55)))*(AC$6:AC$55)/(LEN($C$6:$C$55)-LEN(SUBSTITUTE($C$6:$C$55,CHAR(10),""))+1)),
IF(_xlpm.r=0,"",_xlpm.r)
))</f>
        <v/>
      </c>
      <c r="AD69" s="56" t="str" cm="1">
        <f t="array" ref="AD69">IF($C69="","",_xlfn.LET(
_xlpm.r,SUMPRODUCT((ISNUMBER(SEARCH($C69,$C$6:$C$55)))*(AD$6:AD$55)/(LEN($C$6:$C$55)-LEN(SUBSTITUTE($C$6:$C$55,CHAR(10),""))+1)),
IF(_xlpm.r=0,"",_xlpm.r)
))</f>
        <v/>
      </c>
      <c r="AE69" s="56" t="str" cm="1">
        <f t="array" ref="AE69">IF($C69="","",_xlfn.LET(
_xlpm.r,SUMPRODUCT((ISNUMBER(SEARCH($C69,$C$6:$C$55)))*(AE$6:AE$55)/(LEN($C$6:$C$55)-LEN(SUBSTITUTE($C$6:$C$55,CHAR(10),""))+1)),
IF(_xlpm.r=0,"",_xlpm.r)
))</f>
        <v/>
      </c>
      <c r="AF69" s="56" t="str" cm="1">
        <f t="array" ref="AF69">IF($C69="","",_xlfn.LET(
_xlpm.r,SUMPRODUCT((ISNUMBER(SEARCH($C69,$C$6:$C$55)))*(AF$6:AF$55)/(LEN($C$6:$C$55)-LEN(SUBSTITUTE($C$6:$C$55,CHAR(10),""))+1)),
IF(_xlpm.r=0,"",_xlpm.r)
))</f>
        <v/>
      </c>
      <c r="AG69" s="56" t="str" cm="1">
        <f t="array" ref="AG69">IF($C69="","",_xlfn.LET(
_xlpm.r,SUMPRODUCT((ISNUMBER(SEARCH($C69,$C$6:$C$55)))*(AG$6:AG$55)/(LEN($C$6:$C$55)-LEN(SUBSTITUTE($C$6:$C$55,CHAR(10),""))+1)),
IF(_xlpm.r=0,"",_xlpm.r)
))</f>
        <v/>
      </c>
      <c r="AH69" s="56" t="str" cm="1">
        <f t="array" ref="AH69">IF($C69="","",_xlfn.LET(
_xlpm.r,SUMPRODUCT((ISNUMBER(SEARCH($C69,$C$6:$C$55)))*(AH$6:AH$55)/(LEN($C$6:$C$55)-LEN(SUBSTITUTE($C$6:$C$55,CHAR(10),""))+1)),
IF(_xlpm.r=0,"",_xlpm.r)
))</f>
        <v/>
      </c>
      <c r="AI69" s="56" t="str" cm="1">
        <f t="array" ref="AI69">IF($C69="","",_xlfn.LET(
_xlpm.r,SUMPRODUCT((ISNUMBER(SEARCH($C69,$C$6:$C$55)))*(AI$6:AI$55)/(LEN($C$6:$C$55)-LEN(SUBSTITUTE($C$6:$C$55,CHAR(10),""))+1)),
IF(_xlpm.r=0,"",_xlpm.r)
))</f>
        <v/>
      </c>
      <c r="AJ69" s="56" t="str" cm="1">
        <f t="array" ref="AJ69">IF($C69="","",_xlfn.LET(
_xlpm.r,SUMPRODUCT((ISNUMBER(SEARCH($C69,$C$6:$C$55)))*(AJ$6:AJ$55)/(LEN($C$6:$C$55)-LEN(SUBSTITUTE($C$6:$C$55,CHAR(10),""))+1)),
IF(_xlpm.r=0,"",_xlpm.r)
))</f>
        <v/>
      </c>
      <c r="AK69" s="56" t="str" cm="1">
        <f t="array" ref="AK69">IF($C69="","",_xlfn.LET(
_xlpm.r,SUMPRODUCT((ISNUMBER(SEARCH($C69,$C$6:$C$55)))*(AK$6:AK$55)/(LEN($C$6:$C$55)-LEN(SUBSTITUTE($C$6:$C$55,CHAR(10),""))+1)),
IF(_xlpm.r=0,"",_xlpm.r)
))</f>
        <v/>
      </c>
      <c r="AL69" s="56" t="str" cm="1">
        <f t="array" ref="AL69">IF($C69="","",_xlfn.LET(
_xlpm.r,SUMPRODUCT((ISNUMBER(SEARCH($C69,$C$6:$C$55)))*(AL$6:AL$55)/(LEN($C$6:$C$55)-LEN(SUBSTITUTE($C$6:$C$55,CHAR(10),""))+1)),
IF(_xlpm.r=0,"",_xlpm.r)
))</f>
        <v/>
      </c>
      <c r="AM69" s="56" t="str" cm="1">
        <f t="array" ref="AM69">IF($C69="","",_xlfn.LET(
_xlpm.r,SUMPRODUCT((ISNUMBER(SEARCH($C69,$C$6:$C$55)))*(AM$6:AM$55)/(LEN($C$6:$C$55)-LEN(SUBSTITUTE($C$6:$C$55,CHAR(10),""))+1)),
IF(_xlpm.r=0,"",_xlpm.r)
))</f>
        <v/>
      </c>
      <c r="AN69" s="56" t="str" cm="1">
        <f t="array" ref="AN69">IF($C69="","",_xlfn.LET(
_xlpm.r,SUMPRODUCT((ISNUMBER(SEARCH($C69,$C$6:$C$55)))*(AN$6:AN$55)/(LEN($C$6:$C$55)-LEN(SUBSTITUTE($C$6:$C$55,CHAR(10),""))+1)),
IF(_xlpm.r=0,"",_xlpm.r)
))</f>
        <v/>
      </c>
      <c r="AO69" s="56" t="str" cm="1">
        <f t="array" ref="AO69">IF($C69="","",_xlfn.LET(
_xlpm.r,SUMPRODUCT((ISNUMBER(SEARCH($C69,$C$6:$C$55)))*(AO$6:AO$55)/(LEN($C$6:$C$55)-LEN(SUBSTITUTE($C$6:$C$55,CHAR(10),""))+1)),
IF(_xlpm.r=0,"",_xlpm.r)
))</f>
        <v/>
      </c>
      <c r="AP69" s="56" t="str" cm="1">
        <f t="array" ref="AP69">IF($C69="","",_xlfn.LET(
_xlpm.r,SUMPRODUCT((ISNUMBER(SEARCH($C69,$C$6:$C$55)))*(AP$6:AP$55)/(LEN($C$6:$C$55)-LEN(SUBSTITUTE($C$6:$C$55,CHAR(10),""))+1)),
IF(_xlpm.r=0,"",_xlpm.r)
))</f>
        <v/>
      </c>
      <c r="AQ69" s="56" t="str" cm="1">
        <f t="array" ref="AQ69">IF($C69="","",_xlfn.LET(
_xlpm.r,SUMPRODUCT((ISNUMBER(SEARCH($C69,$C$6:$C$55)))*(AQ$6:AQ$55)/(LEN($C$6:$C$55)-LEN(SUBSTITUTE($C$6:$C$55,CHAR(10),""))+1)),
IF(_xlpm.r=0,"",_xlpm.r)
))</f>
        <v/>
      </c>
      <c r="AR69" s="56" t="str" cm="1">
        <f t="array" ref="AR69">IF($C69="","",_xlfn.LET(
_xlpm.r,SUMPRODUCT((ISNUMBER(SEARCH($C69,$C$6:$C$55)))*(AR$6:AR$55)/(LEN($C$6:$C$55)-LEN(SUBSTITUTE($C$6:$C$55,CHAR(10),""))+1)),
IF(_xlpm.r=0,"",_xlpm.r)
))</f>
        <v/>
      </c>
      <c r="AS69" s="56" t="str" cm="1">
        <f t="array" ref="AS69">IF($C69="","",_xlfn.LET(
_xlpm.r,SUMPRODUCT((ISNUMBER(SEARCH($C69,$C$6:$C$55)))*(AS$6:AS$55)/(LEN($C$6:$C$55)-LEN(SUBSTITUTE($C$6:$C$55,CHAR(10),""))+1)),
IF(_xlpm.r=0,"",_xlpm.r)
))</f>
        <v/>
      </c>
      <c r="AT69" s="56" t="str" cm="1">
        <f t="array" ref="AT69">IF($C69="","",_xlfn.LET(
_xlpm.r,SUMPRODUCT((ISNUMBER(SEARCH($C69,$C$6:$C$55)))*(AT$6:AT$55)/(LEN($C$6:$C$55)-LEN(SUBSTITUTE($C$6:$C$55,CHAR(10),""))+1)),
IF(_xlpm.r=0,"",_xlpm.r)
))</f>
        <v/>
      </c>
      <c r="AU69" s="56" t="str" cm="1">
        <f t="array" ref="AU69">IF($C69="","",_xlfn.LET(
_xlpm.r,SUMPRODUCT((ISNUMBER(SEARCH($C69,$C$6:$C$55)))*(AU$6:AU$55)/(LEN($C$6:$C$55)-LEN(SUBSTITUTE($C$6:$C$55,CHAR(10),""))+1)),
IF(_xlpm.r=0,"",_xlpm.r)
))</f>
        <v/>
      </c>
      <c r="AV69" s="56" t="str" cm="1">
        <f t="array" ref="AV69">IF($C69="","",_xlfn.LET(
_xlpm.r,SUMPRODUCT((ISNUMBER(SEARCH($C69,$C$6:$C$55)))*(AV$6:AV$55)/(LEN($C$6:$C$55)-LEN(SUBSTITUTE($C$6:$C$55,CHAR(10),""))+1)),
IF(_xlpm.r=0,"",_xlpm.r)
))</f>
        <v/>
      </c>
      <c r="AW69" s="56" t="str" cm="1">
        <f t="array" ref="AW69">IF($C69="","",_xlfn.LET(
_xlpm.r,SUMPRODUCT((ISNUMBER(SEARCH($C69,$C$6:$C$55)))*(AW$6:AW$55)/(LEN($C$6:$C$55)-LEN(SUBSTITUTE($C$6:$C$55,CHAR(10),""))+1)),
IF(_xlpm.r=0,"",_xlpm.r)
))</f>
        <v/>
      </c>
      <c r="AX69" s="56" t="str" cm="1">
        <f t="array" ref="AX69">IF($C69="","",_xlfn.LET(
_xlpm.r,SUMPRODUCT((ISNUMBER(SEARCH($C69,$C$6:$C$55)))*(AX$6:AX$55)/(LEN($C$6:$C$55)-LEN(SUBSTITUTE($C$6:$C$55,CHAR(10),""))+1)),
IF(_xlpm.r=0,"",_xlpm.r)
))</f>
        <v/>
      </c>
      <c r="AY69" s="56" t="str" cm="1">
        <f t="array" ref="AY69">IF($C69="","",_xlfn.LET(
_xlpm.r,SUMPRODUCT((ISNUMBER(SEARCH($C69,$C$6:$C$55)))*(AY$6:AY$55)/(LEN($C$6:$C$55)-LEN(SUBSTITUTE($C$6:$C$55,CHAR(10),""))+1)),
IF(_xlpm.r=0,"",_xlpm.r)
))</f>
        <v/>
      </c>
      <c r="AZ69" s="56" t="str" cm="1">
        <f t="array" ref="AZ69">IF($C69="","",_xlfn.LET(
_xlpm.r,SUMPRODUCT((ISNUMBER(SEARCH($C69,$C$6:$C$55)))*(AZ$6:AZ$55)/(LEN($C$6:$C$55)-LEN(SUBSTITUTE($C$6:$C$55,CHAR(10),""))+1)),
IF(_xlpm.r=0,"",_xlpm.r)
))</f>
        <v/>
      </c>
      <c r="BA69" s="56" t="str" cm="1">
        <f t="array" ref="BA69">IF($C69="","",_xlfn.LET(
_xlpm.r,SUMPRODUCT((ISNUMBER(SEARCH($C69,$C$6:$C$55)))*(BA$6:BA$55)/(LEN($C$6:$C$55)-LEN(SUBSTITUTE($C$6:$C$55,CHAR(10),""))+1)),
IF(_xlpm.r=0,"",_xlpm.r)
))</f>
        <v/>
      </c>
      <c r="BB69" s="56" t="str" cm="1">
        <f t="array" ref="BB69">IF($C69="","",_xlfn.LET(
_xlpm.r,SUMPRODUCT((ISNUMBER(SEARCH($C69,$C$6:$C$55)))*(BB$6:BB$55)/(LEN($C$6:$C$55)-LEN(SUBSTITUTE($C$6:$C$55,CHAR(10),""))+1)),
IF(_xlpm.r=0,"",_xlpm.r)
))</f>
        <v/>
      </c>
      <c r="BC69" s="56" t="str" cm="1">
        <f t="array" ref="BC69">IF($C69="","",_xlfn.LET(
_xlpm.r,SUMPRODUCT((ISNUMBER(SEARCH($C69,$C$6:$C$55)))*(BC$6:BC$55)/(LEN($C$6:$C$55)-LEN(SUBSTITUTE($C$6:$C$55,CHAR(10),""))+1)),
IF(_xlpm.r=0,"",_xlpm.r)
))</f>
        <v/>
      </c>
      <c r="BD69" s="56" t="str" cm="1">
        <f t="array" ref="BD69">IF($C69="","",_xlfn.LET(
_xlpm.r,SUMPRODUCT((ISNUMBER(SEARCH($C69,$C$6:$C$55)))*(BD$6:BD$55)/(LEN($C$6:$C$55)-LEN(SUBSTITUTE($C$6:$C$55,CHAR(10),""))+1)),
IF(_xlpm.r=0,"",_xlpm.r)
))</f>
        <v/>
      </c>
      <c r="BE69" s="56" t="str" cm="1">
        <f t="array" ref="BE69">IF($C69="","",_xlfn.LET(
_xlpm.r,SUMPRODUCT((ISNUMBER(SEARCH($C69,$C$6:$C$55)))*(BE$6:BE$55)/(LEN($C$6:$C$55)-LEN(SUBSTITUTE($C$6:$C$55,CHAR(10),""))+1)),
IF(_xlpm.r=0,"",_xlpm.r)
))</f>
        <v/>
      </c>
      <c r="BF69" s="56" t="str" cm="1">
        <f t="array" ref="BF69">IF($C69="","",_xlfn.LET(
_xlpm.r,SUMPRODUCT((ISNUMBER(SEARCH($C69,$C$6:$C$55)))*(BF$6:BF$55)/(LEN($C$6:$C$55)-LEN(SUBSTITUTE($C$6:$C$55,CHAR(10),""))+1)),
IF(_xlpm.r=0,"",_xlpm.r)
))</f>
        <v/>
      </c>
      <c r="BG69" s="56" t="str" cm="1">
        <f t="array" ref="BG69">IF($C69="","",_xlfn.LET(
_xlpm.r,SUMPRODUCT((ISNUMBER(SEARCH($C69,$C$6:$C$55)))*(BG$6:BG$55)/(LEN($C$6:$C$55)-LEN(SUBSTITUTE($C$6:$C$55,CHAR(10),""))+1)),
IF(_xlpm.r=0,"",_xlpm.r)
))</f>
        <v/>
      </c>
      <c r="BH69" s="56" t="str" cm="1">
        <f t="array" ref="BH69">IF($C69="","",_xlfn.LET(
_xlpm.r,SUMPRODUCT((ISNUMBER(SEARCH($C69,$C$6:$C$55)))*(BH$6:BH$55)/(LEN($C$6:$C$55)-LEN(SUBSTITUTE($C$6:$C$55,CHAR(10),""))+1)),
IF(_xlpm.r=0,"",_xlpm.r)
))</f>
        <v/>
      </c>
      <c r="BI69" s="56" t="str" cm="1">
        <f t="array" ref="BI69">IF($C69="","",_xlfn.LET(
_xlpm.r,SUMPRODUCT((ISNUMBER(SEARCH($C69,$C$6:$C$55)))*(BI$6:BI$55)/(LEN($C$6:$C$55)-LEN(SUBSTITUTE($C$6:$C$55,CHAR(10),""))+1)),
IF(_xlpm.r=0,"",_xlpm.r)
))</f>
        <v/>
      </c>
      <c r="BJ69" s="56" t="str" cm="1">
        <f t="array" ref="BJ69">IF($C69="","",_xlfn.LET(
_xlpm.r,SUMPRODUCT((ISNUMBER(SEARCH($C69,$C$6:$C$55)))*(BJ$6:BJ$55)/(LEN($C$6:$C$55)-LEN(SUBSTITUTE($C$6:$C$55,CHAR(10),""))+1)),
IF(_xlpm.r=0,"",_xlpm.r)
))</f>
        <v/>
      </c>
      <c r="BK69" s="56" t="str" cm="1">
        <f t="array" ref="BK69">IF($C69="","",_xlfn.LET(
_xlpm.r,SUMPRODUCT((ISNUMBER(SEARCH($C69,$C$6:$C$55)))*(BK$6:BK$55)/(LEN($C$6:$C$55)-LEN(SUBSTITUTE($C$6:$C$55,CHAR(10),""))+1)),
IF(_xlpm.r=0,"",_xlpm.r)
))</f>
        <v/>
      </c>
      <c r="BL69" s="56" t="str" cm="1">
        <f t="array" ref="BL69">IF($C69="","",_xlfn.LET(
_xlpm.r,SUMPRODUCT((ISNUMBER(SEARCH($C69,$C$6:$C$55)))*(BL$6:BL$55)/(LEN($C$6:$C$55)-LEN(SUBSTITUTE($C$6:$C$55,CHAR(10),""))+1)),
IF(_xlpm.r=0,"",_xlpm.r)
))</f>
        <v/>
      </c>
      <c r="BM69" s="56" t="str" cm="1">
        <f t="array" ref="BM69">IF($C69="","",_xlfn.LET(
_xlpm.r,SUMPRODUCT((ISNUMBER(SEARCH($C69,$C$6:$C$55)))*(BM$6:BM$55)/(LEN($C$6:$C$55)-LEN(SUBSTITUTE($C$6:$C$55,CHAR(10),""))+1)),
IF(_xlpm.r=0,"",_xlpm.r)
))</f>
        <v/>
      </c>
      <c r="BN69" s="56" t="str" cm="1">
        <f t="array" ref="BN69">IF($C69="","",_xlfn.LET(
_xlpm.r,SUMPRODUCT((ISNUMBER(SEARCH($C69,$C$6:$C$55)))*(BN$6:BN$55)/(LEN($C$6:$C$55)-LEN(SUBSTITUTE($C$6:$C$55,CHAR(10),""))+1)),
IF(_xlpm.r=0,"",_xlpm.r)
))</f>
        <v/>
      </c>
      <c r="BO69" s="56" t="str" cm="1">
        <f t="array" ref="BO69">IF($C69="","",_xlfn.LET(
_xlpm.r,SUMPRODUCT((ISNUMBER(SEARCH($C69,$C$6:$C$55)))*(BO$6:BO$55)/(LEN($C$6:$C$55)-LEN(SUBSTITUTE($C$6:$C$55,CHAR(10),""))+1)),
IF(_xlpm.r=0,"",_xlpm.r)
))</f>
        <v/>
      </c>
      <c r="BP69" s="56" t="str" cm="1">
        <f t="array" ref="BP69">IF($C69="","",_xlfn.LET(
_xlpm.r,SUMPRODUCT((ISNUMBER(SEARCH($C69,$C$6:$C$55)))*(BP$6:BP$55)/(LEN($C$6:$C$55)-LEN(SUBSTITUTE($C$6:$C$55,CHAR(10),""))+1)),
IF(_xlpm.r=0,"",_xlpm.r)
))</f>
        <v/>
      </c>
      <c r="BQ69" s="56" t="str" cm="1">
        <f t="array" ref="BQ69">IF($C69="","",_xlfn.LET(
_xlpm.r,SUMPRODUCT((ISNUMBER(SEARCH($C69,$C$6:$C$55)))*(BQ$6:BQ$55)/(LEN($C$6:$C$55)-LEN(SUBSTITUTE($C$6:$C$55,CHAR(10),""))+1)),
IF(_xlpm.r=0,"",_xlpm.r)
))</f>
        <v/>
      </c>
      <c r="BR69" s="56" t="str" cm="1">
        <f t="array" ref="BR69">IF($C69="","",_xlfn.LET(
_xlpm.r,SUMPRODUCT((ISNUMBER(SEARCH($C69,$C$6:$C$55)))*(BR$6:BR$55)/(LEN($C$6:$C$55)-LEN(SUBSTITUTE($C$6:$C$55,CHAR(10),""))+1)),
IF(_xlpm.r=0,"",_xlpm.r)
))</f>
        <v/>
      </c>
      <c r="BS69" s="56" t="str" cm="1">
        <f t="array" ref="BS69">IF($C69="","",_xlfn.LET(
_xlpm.r,SUMPRODUCT((ISNUMBER(SEARCH($C69,$C$6:$C$55)))*(BS$6:BS$55)/(LEN($C$6:$C$55)-LEN(SUBSTITUTE($C$6:$C$55,CHAR(10),""))+1)),
IF(_xlpm.r=0,"",_xlpm.r)
))</f>
        <v/>
      </c>
      <c r="BT69" s="56" t="str" cm="1">
        <f t="array" ref="BT69">IF($C69="","",_xlfn.LET(
_xlpm.r,SUMPRODUCT((ISNUMBER(SEARCH($C69,$C$6:$C$55)))*(BT$6:BT$55)/(LEN($C$6:$C$55)-LEN(SUBSTITUTE($C$6:$C$55,CHAR(10),""))+1)),
IF(_xlpm.r=0,"",_xlpm.r)
))</f>
        <v/>
      </c>
      <c r="BU69" s="56" t="str" cm="1">
        <f t="array" ref="BU69">IF($C69="","",_xlfn.LET(
_xlpm.r,SUMPRODUCT((ISNUMBER(SEARCH($C69,$C$6:$C$55)))*(BU$6:BU$55)/(LEN($C$6:$C$55)-LEN(SUBSTITUTE($C$6:$C$55,CHAR(10),""))+1)),
IF(_xlpm.r=0,"",_xlpm.r)
))</f>
        <v/>
      </c>
      <c r="BV69" s="56" t="str" cm="1">
        <f t="array" ref="BV69">IF($C69="","",_xlfn.LET(
_xlpm.r,SUMPRODUCT((ISNUMBER(SEARCH($C69,$C$6:$C$55)))*(BV$6:BV$55)/(LEN($C$6:$C$55)-LEN(SUBSTITUTE($C$6:$C$55,CHAR(10),""))+1)),
IF(_xlpm.r=0,"",_xlpm.r)
))</f>
        <v/>
      </c>
      <c r="BW69" s="56" t="str" cm="1">
        <f t="array" ref="BW69">IF($C69="","",_xlfn.LET(
_xlpm.r,SUMPRODUCT((ISNUMBER(SEARCH($C69,$C$6:$C$55)))*(BW$6:BW$55)/(LEN($C$6:$C$55)-LEN(SUBSTITUTE($C$6:$C$55,CHAR(10),""))+1)),
IF(_xlpm.r=0,"",_xlpm.r)
))</f>
        <v/>
      </c>
      <c r="BX69" s="56" t="str" cm="1">
        <f t="array" ref="BX69">IF($C69="","",_xlfn.LET(
_xlpm.r,SUMPRODUCT((ISNUMBER(SEARCH($C69,$C$6:$C$55)))*(BX$6:BX$55)/(LEN($C$6:$C$55)-LEN(SUBSTITUTE($C$6:$C$55,CHAR(10),""))+1)),
IF(_xlpm.r=0,"",_xlpm.r)
))</f>
        <v/>
      </c>
      <c r="BY69" s="56" t="str" cm="1">
        <f t="array" ref="BY69">IF($C69="","",_xlfn.LET(
_xlpm.r,SUMPRODUCT((ISNUMBER(SEARCH($C69,$C$6:$C$55)))*(BY$6:BY$55)/(LEN($C$6:$C$55)-LEN(SUBSTITUTE($C$6:$C$55,CHAR(10),""))+1)),
IF(_xlpm.r=0,"",_xlpm.r)
))</f>
        <v/>
      </c>
      <c r="BZ69" s="56" t="str" cm="1">
        <f t="array" ref="BZ69">IF($C69="","",_xlfn.LET(
_xlpm.r,SUMPRODUCT((ISNUMBER(SEARCH($C69,$C$6:$C$55)))*(BZ$6:BZ$55)/(LEN($C$6:$C$55)-LEN(SUBSTITUTE($C$6:$C$55,CHAR(10),""))+1)),
IF(_xlpm.r=0,"",_xlpm.r)
))</f>
        <v/>
      </c>
      <c r="CA69" s="56" t="str" cm="1">
        <f t="array" ref="CA69">IF($C69="","",_xlfn.LET(
_xlpm.r,SUMPRODUCT((ISNUMBER(SEARCH($C69,$C$6:$C$55)))*(CA$6:CA$55)/(LEN($C$6:$C$55)-LEN(SUBSTITUTE($C$6:$C$55,CHAR(10),""))+1)),
IF(_xlpm.r=0,"",_xlpm.r)
))</f>
        <v/>
      </c>
      <c r="CB69" s="56" t="str" cm="1">
        <f t="array" ref="CB69">IF($C69="","",_xlfn.LET(
_xlpm.r,SUMPRODUCT((ISNUMBER(SEARCH($C69,$C$6:$C$55)))*(CB$6:CB$55)/(LEN($C$6:$C$55)-LEN(SUBSTITUTE($C$6:$C$55,CHAR(10),""))+1)),
IF(_xlpm.r=0,"",_xlpm.r)
))</f>
        <v/>
      </c>
      <c r="CC69" s="56" t="str" cm="1">
        <f t="array" ref="CC69">IF($C69="","",_xlfn.LET(
_xlpm.r,SUMPRODUCT((ISNUMBER(SEARCH($C69,$C$6:$C$55)))*(CC$6:CC$55)/(LEN($C$6:$C$55)-LEN(SUBSTITUTE($C$6:$C$55,CHAR(10),""))+1)),
IF(_xlpm.r=0,"",_xlpm.r)
))</f>
        <v/>
      </c>
      <c r="CD69" s="56" t="str" cm="1">
        <f t="array" ref="CD69">IF($C69="","",_xlfn.LET(
_xlpm.r,SUMPRODUCT((ISNUMBER(SEARCH($C69,$C$6:$C$55)))*(CD$6:CD$55)/(LEN($C$6:$C$55)-LEN(SUBSTITUTE($C$6:$C$55,CHAR(10),""))+1)),
IF(_xlpm.r=0,"",_xlpm.r)
))</f>
        <v/>
      </c>
      <c r="CE69" s="56" t="str" cm="1">
        <f t="array" ref="CE69">IF($C69="","",_xlfn.LET(
_xlpm.r,SUMPRODUCT((ISNUMBER(SEARCH($C69,$C$6:$C$55)))*(CE$6:CE$55)/(LEN($C$6:$C$55)-LEN(SUBSTITUTE($C$6:$C$55,CHAR(10),""))+1)),
IF(_xlpm.r=0,"",_xlpm.r)
))</f>
        <v/>
      </c>
      <c r="CF69" s="56" t="str" cm="1">
        <f t="array" ref="CF69">IF($C69="","",_xlfn.LET(
_xlpm.r,SUMPRODUCT((ISNUMBER(SEARCH($C69,$C$6:$C$55)))*(CF$6:CF$55)/(LEN($C$6:$C$55)-LEN(SUBSTITUTE($C$6:$C$55,CHAR(10),""))+1)),
IF(_xlpm.r=0,"",_xlpm.r)
))</f>
        <v/>
      </c>
      <c r="CG69" s="56" t="str" cm="1">
        <f t="array" ref="CG69">IF($C69="","",_xlfn.LET(
_xlpm.r,SUMPRODUCT((ISNUMBER(SEARCH($C69,$C$6:$C$55)))*(CG$6:CG$55)/(LEN($C$6:$C$55)-LEN(SUBSTITUTE($C$6:$C$55,CHAR(10),""))+1)),
IF(_xlpm.r=0,"",_xlpm.r)
))</f>
        <v/>
      </c>
      <c r="CH69" s="56" t="str" cm="1">
        <f t="array" ref="CH69">IF($C69="","",_xlfn.LET(
_xlpm.r,SUMPRODUCT((ISNUMBER(SEARCH($C69,$C$6:$C$55)))*(CH$6:CH$55)/(LEN($C$6:$C$55)-LEN(SUBSTITUTE($C$6:$C$55,CHAR(10),""))+1)),
IF(_xlpm.r=0,"",_xlpm.r)
))</f>
        <v/>
      </c>
      <c r="CI69" s="56" t="str" cm="1">
        <f t="array" ref="CI69">IF($C69="","",_xlfn.LET(
_xlpm.r,SUMPRODUCT((ISNUMBER(SEARCH($C69,$C$6:$C$55)))*(CI$6:CI$55)/(LEN($C$6:$C$55)-LEN(SUBSTITUTE($C$6:$C$55,CHAR(10),""))+1)),
IF(_xlpm.r=0,"",_xlpm.r)
))</f>
        <v/>
      </c>
      <c r="CJ69" s="56" t="str" cm="1">
        <f t="array" ref="CJ69">IF($C69="","",_xlfn.LET(
_xlpm.r,SUMPRODUCT((ISNUMBER(SEARCH($C69,$C$6:$C$55)))*(CJ$6:CJ$55)/(LEN($C$6:$C$55)-LEN(SUBSTITUTE($C$6:$C$55,CHAR(10),""))+1)),
IF(_xlpm.r=0,"",_xlpm.r)
))</f>
        <v/>
      </c>
      <c r="CK69" s="56" t="str" cm="1">
        <f t="array" ref="CK69">IF($C69="","",_xlfn.LET(
_xlpm.r,SUMPRODUCT((ISNUMBER(SEARCH($C69,$C$6:$C$55)))*(CK$6:CK$55)/(LEN($C$6:$C$55)-LEN(SUBSTITUTE($C$6:$C$55,CHAR(10),""))+1)),
IF(_xlpm.r=0,"",_xlpm.r)
))</f>
        <v/>
      </c>
      <c r="CL69" s="56" t="str" cm="1">
        <f t="array" ref="CL69">IF($C69="","",_xlfn.LET(
_xlpm.r,SUMPRODUCT((ISNUMBER(SEARCH($C69,$C$6:$C$55)))*(CL$6:CL$55)/(LEN($C$6:$C$55)-LEN(SUBSTITUTE($C$6:$C$55,CHAR(10),""))+1)),
IF(_xlpm.r=0,"",_xlpm.r)
))</f>
        <v/>
      </c>
      <c r="CM69" s="56" t="str" cm="1">
        <f t="array" ref="CM69">IF($C69="","",_xlfn.LET(
_xlpm.r,SUMPRODUCT((ISNUMBER(SEARCH($C69,$C$6:$C$55)))*(CM$6:CM$55)/(LEN($C$6:$C$55)-LEN(SUBSTITUTE($C$6:$C$55,CHAR(10),""))+1)),
IF(_xlpm.r=0,"",_xlpm.r)
))</f>
        <v/>
      </c>
      <c r="CN69" s="56" t="str" cm="1">
        <f t="array" ref="CN69">IF($C69="","",_xlfn.LET(
_xlpm.r,SUMPRODUCT((ISNUMBER(SEARCH($C69,$C$6:$C$55)))*(CN$6:CN$55)/(LEN($C$6:$C$55)-LEN(SUBSTITUTE($C$6:$C$55,CHAR(10),""))+1)),
IF(_xlpm.r=0,"",_xlpm.r)
))</f>
        <v/>
      </c>
      <c r="CO69" s="56" t="str" cm="1">
        <f t="array" ref="CO69">IF($C69="","",_xlfn.LET(
_xlpm.r,SUMPRODUCT((ISNUMBER(SEARCH($C69,$C$6:$C$55)))*(CO$6:CO$55)/(LEN($C$6:$C$55)-LEN(SUBSTITUTE($C$6:$C$55,CHAR(10),""))+1)),
IF(_xlpm.r=0,"",_xlpm.r)
))</f>
        <v/>
      </c>
      <c r="CP69" s="56" t="str" cm="1">
        <f t="array" ref="CP69">IF($C69="","",_xlfn.LET(
_xlpm.r,SUMPRODUCT((ISNUMBER(SEARCH($C69,$C$6:$C$55)))*(CP$6:CP$55)/(LEN($C$6:$C$55)-LEN(SUBSTITUTE($C$6:$C$55,CHAR(10),""))+1)),
IF(_xlpm.r=0,"",_xlpm.r)
))</f>
        <v/>
      </c>
      <c r="CQ69" s="56" t="str" cm="1">
        <f t="array" ref="CQ69">IF($C69="","",_xlfn.LET(
_xlpm.r,SUMPRODUCT((ISNUMBER(SEARCH($C69,$C$6:$C$55)))*(CQ$6:CQ$55)/(LEN($C$6:$C$55)-LEN(SUBSTITUTE($C$6:$C$55,CHAR(10),""))+1)),
IF(_xlpm.r=0,"",_xlpm.r)
))</f>
        <v/>
      </c>
      <c r="CR69" s="56" t="str" cm="1">
        <f t="array" ref="CR69">IF($C69="","",_xlfn.LET(
_xlpm.r,SUMPRODUCT((ISNUMBER(SEARCH($C69,$C$6:$C$55)))*(CR$6:CR$55)/(LEN($C$6:$C$55)-LEN(SUBSTITUTE($C$6:$C$55,CHAR(10),""))+1)),
IF(_xlpm.r=0,"",_xlpm.r)
))</f>
        <v/>
      </c>
      <c r="CS69" s="56" t="str" cm="1">
        <f t="array" ref="CS69">IF($C69="","",_xlfn.LET(
_xlpm.r,SUMPRODUCT((ISNUMBER(SEARCH($C69,$C$6:$C$55)))*(CS$6:CS$55)/(LEN($C$6:$C$55)-LEN(SUBSTITUTE($C$6:$C$55,CHAR(10),""))+1)),
IF(_xlpm.r=0,"",_xlpm.r)
))</f>
        <v/>
      </c>
      <c r="CT69" s="56" t="str" cm="1">
        <f t="array" ref="CT69">IF($C69="","",_xlfn.LET(
_xlpm.r,SUMPRODUCT((ISNUMBER(SEARCH($C69,$C$6:$C$55)))*(CT$6:CT$55)/(LEN($C$6:$C$55)-LEN(SUBSTITUTE($C$6:$C$55,CHAR(10),""))+1)),
IF(_xlpm.r=0,"",_xlpm.r)
))</f>
        <v/>
      </c>
      <c r="CU69" s="56" t="str" cm="1">
        <f t="array" ref="CU69">IF($C69="","",_xlfn.LET(
_xlpm.r,SUMPRODUCT((ISNUMBER(SEARCH($C69,$C$6:$C$55)))*(CU$6:CU$55)/(LEN($C$6:$C$55)-LEN(SUBSTITUTE($C$6:$C$55,CHAR(10),""))+1)),
IF(_xlpm.r=0,"",_xlpm.r)
))</f>
        <v/>
      </c>
      <c r="CV69" s="56" t="str" cm="1">
        <f t="array" ref="CV69">IF($C69="","",_xlfn.LET(
_xlpm.r,SUMPRODUCT((ISNUMBER(SEARCH($C69,$C$6:$C$55)))*(CV$6:CV$55)/(LEN($C$6:$C$55)-LEN(SUBSTITUTE($C$6:$C$55,CHAR(10),""))+1)),
IF(_xlpm.r=0,"",_xlpm.r)
))</f>
        <v/>
      </c>
      <c r="CW69" s="56" t="str" cm="1">
        <f t="array" ref="CW69">IF($C69="","",_xlfn.LET(
_xlpm.r,SUMPRODUCT((ISNUMBER(SEARCH($C69,$C$6:$C$55)))*(CW$6:CW$55)/(LEN($C$6:$C$55)-LEN(SUBSTITUTE($C$6:$C$55,CHAR(10),""))+1)),
IF(_xlpm.r=0,"",_xlpm.r)
))</f>
        <v/>
      </c>
      <c r="CX69" s="56" t="str" cm="1">
        <f t="array" ref="CX69">IF($C69="","",_xlfn.LET(
_xlpm.r,SUMPRODUCT((ISNUMBER(SEARCH($C69,$C$6:$C$55)))*(CX$6:CX$55)/(LEN($C$6:$C$55)-LEN(SUBSTITUTE($C$6:$C$55,CHAR(10),""))+1)),
IF(_xlpm.r=0,"",_xlpm.r)
))</f>
        <v/>
      </c>
      <c r="CY69" s="56" t="str" cm="1">
        <f t="array" ref="CY69">IF($C69="","",_xlfn.LET(
_xlpm.r,SUMPRODUCT((ISNUMBER(SEARCH($C69,$C$6:$C$55)))*(CY$6:CY$55)/(LEN($C$6:$C$55)-LEN(SUBSTITUTE($C$6:$C$55,CHAR(10),""))+1)),
IF(_xlpm.r=0,"",_xlpm.r)
))</f>
        <v/>
      </c>
      <c r="CZ69" s="56" t="str" cm="1">
        <f t="array" ref="CZ69">IF($C69="","",_xlfn.LET(
_xlpm.r,SUMPRODUCT((ISNUMBER(SEARCH($C69,$C$6:$C$55)))*(CZ$6:CZ$55)/(LEN($C$6:$C$55)-LEN(SUBSTITUTE($C$6:$C$55,CHAR(10),""))+1)),
IF(_xlpm.r=0,"",_xlpm.r)
))</f>
        <v/>
      </c>
      <c r="DA69" s="56" t="str" cm="1">
        <f t="array" ref="DA69">IF($C69="","",_xlfn.LET(
_xlpm.r,SUMPRODUCT((ISNUMBER(SEARCH($C69,$C$6:$C$55)))*(DA$6:DA$55)/(LEN($C$6:$C$55)-LEN(SUBSTITUTE($C$6:$C$55,CHAR(10),""))+1)),
IF(_xlpm.r=0,"",_xlpm.r)
))</f>
        <v/>
      </c>
      <c r="DB69" s="56" t="str" cm="1">
        <f t="array" ref="DB69">IF($C69="","",_xlfn.LET(
_xlpm.r,SUMPRODUCT((ISNUMBER(SEARCH($C69,$C$6:$C$55)))*(DB$6:DB$55)/(LEN($C$6:$C$55)-LEN(SUBSTITUTE($C$6:$C$55,CHAR(10),""))+1)),
IF(_xlpm.r=0,"",_xlpm.r)
))</f>
        <v/>
      </c>
      <c r="DC69" s="56" t="str" cm="1">
        <f t="array" ref="DC69">IF($C69="","",_xlfn.LET(
_xlpm.r,SUMPRODUCT((ISNUMBER(SEARCH($C69,$C$6:$C$55)))*(DC$6:DC$55)/(LEN($C$6:$C$55)-LEN(SUBSTITUTE($C$6:$C$55,CHAR(10),""))+1)),
IF(_xlpm.r=0,"",_xlpm.r)
))</f>
        <v/>
      </c>
      <c r="DD69" s="56" t="str" cm="1">
        <f t="array" ref="DD69">IF($C69="","",_xlfn.LET(
_xlpm.r,SUMPRODUCT((ISNUMBER(SEARCH($C69,$C$6:$C$55)))*(DD$6:DD$55)/(LEN($C$6:$C$55)-LEN(SUBSTITUTE($C$6:$C$55,CHAR(10),""))+1)),
IF(_xlpm.r=0,"",_xlpm.r)
))</f>
        <v/>
      </c>
    </row>
    <row r="70" spans="3:108" x14ac:dyDescent="0.3">
      <c r="C70" s="63"/>
      <c r="D70" s="64"/>
      <c r="E70" s="61" t="str" cm="1">
        <f t="array" ref="E70">IF($C70="","",_xlfn.LET(
_xlpm.r,SUMPRODUCT((ISNUMBER(SEARCH($C70,$C$6:$C$55)))*(E$6:E$55)/(LEN($C$6:$C$55)-LEN(SUBSTITUTE($C$6:$C$55,CHAR(10),""))+1)),
IF(_xlpm.r=0,"",_xlpm.r)
))</f>
        <v/>
      </c>
      <c r="F70" s="61" t="str" cm="1">
        <f t="array" ref="F70">IF($C70="","",_xlfn.LET(
_xlpm.r,SUMPRODUCT((ISNUMBER(SEARCH($C70,$C$6:$C$55)))*(F$6:F$55)/(LEN($C$6:$C$55)-LEN(SUBSTITUTE($C$6:$C$55,CHAR(10),""))+1)),
IF(_xlpm.r=0,"",_xlpm.r)
))</f>
        <v/>
      </c>
      <c r="G70" s="61" t="str" cm="1">
        <f t="array" ref="G70">IF($C70="","",_xlfn.LET(
_xlpm.r,SUMPRODUCT((ISNUMBER(SEARCH($C70,$C$6:$C$55)))*(G$6:G$55)/(LEN($C$6:$C$55)-LEN(SUBSTITUTE($C$6:$C$55,CHAR(10),""))+1)),
IF(_xlpm.r=0,"",_xlpm.r)
))</f>
        <v/>
      </c>
      <c r="H70" s="61" t="str" cm="1">
        <f t="array" ref="H70">IF($C70="","",_xlfn.LET(
_xlpm.r,SUMPRODUCT((ISNUMBER(SEARCH($C70,$C$6:$C$55)))*(H$6:H$55)/(LEN($C$6:$C$55)-LEN(SUBSTITUTE($C$6:$C$55,CHAR(10),""))+1)),
IF(_xlpm.r=0,"",_xlpm.r)
))</f>
        <v/>
      </c>
      <c r="I70" s="61" t="str" cm="1">
        <f t="array" ref="I70">IF($C70="","",_xlfn.LET(
_xlpm.r,SUMPRODUCT((ISNUMBER(SEARCH($C70,$C$6:$C$55)))*(I$6:I$55)/(LEN($C$6:$C$55)-LEN(SUBSTITUTE($C$6:$C$55,CHAR(10),""))+1)),
IF(_xlpm.r=0,"",_xlpm.r)
))</f>
        <v/>
      </c>
      <c r="J70" s="61" t="str" cm="1">
        <f t="array" ref="J70">IF($C70="","",_xlfn.LET(
_xlpm.r,SUMPRODUCT((ISNUMBER(SEARCH($C70,$C$6:$C$55)))*(J$6:J$55)/(LEN($C$6:$C$55)-LEN(SUBSTITUTE($C$6:$C$55,CHAR(10),""))+1)),
IF(_xlpm.r=0,"",_xlpm.r)
))</f>
        <v/>
      </c>
      <c r="K70" s="61" t="str" cm="1">
        <f t="array" ref="K70">IF($C70="","",_xlfn.LET(
_xlpm.r,SUMPRODUCT((ISNUMBER(SEARCH($C70,$C$6:$C$55)))*(K$6:K$55)/(LEN($C$6:$C$55)-LEN(SUBSTITUTE($C$6:$C$55,CHAR(10),""))+1)),
IF(_xlpm.r=0,"",_xlpm.r)
))</f>
        <v/>
      </c>
      <c r="L70" s="61" t="str" cm="1">
        <f t="array" ref="L70">IF($C70="","",_xlfn.LET(
_xlpm.r,SUMPRODUCT((ISNUMBER(SEARCH($C70,$C$6:$C$55)))*(L$6:L$55)/(LEN($C$6:$C$55)-LEN(SUBSTITUTE($C$6:$C$55,CHAR(10),""))+1)),
IF(_xlpm.r=0,"",_xlpm.r)
))</f>
        <v/>
      </c>
      <c r="M70" s="61" t="str" cm="1">
        <f t="array" ref="M70">IF($C70="","",_xlfn.LET(
_xlpm.r,SUMPRODUCT((ISNUMBER(SEARCH($C70,$C$6:$C$55)))*(M$6:M$55)/(LEN($C$6:$C$55)-LEN(SUBSTITUTE($C$6:$C$55,CHAR(10),""))+1)),
IF(_xlpm.r=0,"",_xlpm.r)
))</f>
        <v/>
      </c>
      <c r="N70" s="61" t="str" cm="1">
        <f t="array" ref="N70">IF($C70="","",_xlfn.LET(
_xlpm.r,SUMPRODUCT((ISNUMBER(SEARCH($C70,$C$6:$C$55)))*(N$6:N$55)/(LEN($C$6:$C$55)-LEN(SUBSTITUTE($C$6:$C$55,CHAR(10),""))+1)),
IF(_xlpm.r=0,"",_xlpm.r)
))</f>
        <v/>
      </c>
      <c r="O70" s="61" t="str" cm="1">
        <f t="array" ref="O70">IF($C70="","",_xlfn.LET(
_xlpm.r,SUMPRODUCT((ISNUMBER(SEARCH($C70,$C$6:$C$55)))*(O$6:O$55)/(LEN($C$6:$C$55)-LEN(SUBSTITUTE($C$6:$C$55,CHAR(10),""))+1)),
IF(_xlpm.r=0,"",_xlpm.r)
))</f>
        <v/>
      </c>
      <c r="P70" s="61" t="str" cm="1">
        <f t="array" ref="P70">IF($C70="","",_xlfn.LET(
_xlpm.r,SUMPRODUCT((ISNUMBER(SEARCH($C70,$C$6:$C$55)))*(P$6:P$55)/(LEN($C$6:$C$55)-LEN(SUBSTITUTE($C$6:$C$55,CHAR(10),""))+1)),
IF(_xlpm.r=0,"",_xlpm.r)
))</f>
        <v/>
      </c>
      <c r="Q70" s="61" t="str" cm="1">
        <f t="array" ref="Q70">IF($C70="","",_xlfn.LET(
_xlpm.r,SUMPRODUCT((ISNUMBER(SEARCH($C70,$C$6:$C$55)))*(Q$6:Q$55)/(LEN($C$6:$C$55)-LEN(SUBSTITUTE($C$6:$C$55,CHAR(10),""))+1)),
IF(_xlpm.r=0,"",_xlpm.r)
))</f>
        <v/>
      </c>
      <c r="R70" s="61" t="str" cm="1">
        <f t="array" ref="R70">IF($C70="","",_xlfn.LET(
_xlpm.r,SUMPRODUCT((ISNUMBER(SEARCH($C70,$C$6:$C$55)))*(R$6:R$55)/(LEN($C$6:$C$55)-LEN(SUBSTITUTE($C$6:$C$55,CHAR(10),""))+1)),
IF(_xlpm.r=0,"",_xlpm.r)
))</f>
        <v/>
      </c>
      <c r="S70" s="61" t="str" cm="1">
        <f t="array" ref="S70">IF($C70="","",_xlfn.LET(
_xlpm.r,SUMPRODUCT((ISNUMBER(SEARCH($C70,$C$6:$C$55)))*(S$6:S$55)/(LEN($C$6:$C$55)-LEN(SUBSTITUTE($C$6:$C$55,CHAR(10),""))+1)),
IF(_xlpm.r=0,"",_xlpm.r)
))</f>
        <v/>
      </c>
      <c r="T70" s="61" t="str" cm="1">
        <f t="array" ref="T70">IF($C70="","",_xlfn.LET(
_xlpm.r,SUMPRODUCT((ISNUMBER(SEARCH($C70,$C$6:$C$55)))*(T$6:T$55)/(LEN($C$6:$C$55)-LEN(SUBSTITUTE($C$6:$C$55,CHAR(10),""))+1)),
IF(_xlpm.r=0,"",_xlpm.r)
))</f>
        <v/>
      </c>
      <c r="U70" s="61" t="str" cm="1">
        <f t="array" ref="U70">IF($C70="","",_xlfn.LET(
_xlpm.r,SUMPRODUCT((ISNUMBER(SEARCH($C70,$C$6:$C$55)))*(U$6:U$55)/(LEN($C$6:$C$55)-LEN(SUBSTITUTE($C$6:$C$55,CHAR(10),""))+1)),
IF(_xlpm.r=0,"",_xlpm.r)
))</f>
        <v/>
      </c>
      <c r="V70" s="61" t="str" cm="1">
        <f t="array" ref="V70">IF($C70="","",_xlfn.LET(
_xlpm.r,SUMPRODUCT((ISNUMBER(SEARCH($C70,$C$6:$C$55)))*(V$6:V$55)/(LEN($C$6:$C$55)-LEN(SUBSTITUTE($C$6:$C$55,CHAR(10),""))+1)),
IF(_xlpm.r=0,"",_xlpm.r)
))</f>
        <v/>
      </c>
      <c r="W70" s="61" t="str" cm="1">
        <f t="array" ref="W70">IF($C70="","",_xlfn.LET(
_xlpm.r,SUMPRODUCT((ISNUMBER(SEARCH($C70,$C$6:$C$55)))*(W$6:W$55)/(LEN($C$6:$C$55)-LEN(SUBSTITUTE($C$6:$C$55,CHAR(10),""))+1)),
IF(_xlpm.r=0,"",_xlpm.r)
))</f>
        <v/>
      </c>
      <c r="X70" s="61" t="str" cm="1">
        <f t="array" ref="X70">IF($C70="","",_xlfn.LET(
_xlpm.r,SUMPRODUCT((ISNUMBER(SEARCH($C70,$C$6:$C$55)))*(X$6:X$55)/(LEN($C$6:$C$55)-LEN(SUBSTITUTE($C$6:$C$55,CHAR(10),""))+1)),
IF(_xlpm.r=0,"",_xlpm.r)
))</f>
        <v/>
      </c>
      <c r="Y70" s="61" t="str" cm="1">
        <f t="array" ref="Y70">IF($C70="","",_xlfn.LET(
_xlpm.r,SUMPRODUCT((ISNUMBER(SEARCH($C70,$C$6:$C$55)))*(Y$6:Y$55)/(LEN($C$6:$C$55)-LEN(SUBSTITUTE($C$6:$C$55,CHAR(10),""))+1)),
IF(_xlpm.r=0,"",_xlpm.r)
))</f>
        <v/>
      </c>
      <c r="Z70" s="61" t="str" cm="1">
        <f t="array" ref="Z70">IF($C70="","",_xlfn.LET(
_xlpm.r,SUMPRODUCT((ISNUMBER(SEARCH($C70,$C$6:$C$55)))*(Z$6:Z$55)/(LEN($C$6:$C$55)-LEN(SUBSTITUTE($C$6:$C$55,CHAR(10),""))+1)),
IF(_xlpm.r=0,"",_xlpm.r)
))</f>
        <v/>
      </c>
      <c r="AA70" s="61" t="str" cm="1">
        <f t="array" ref="AA70">IF($C70="","",_xlfn.LET(
_xlpm.r,SUMPRODUCT((ISNUMBER(SEARCH($C70,$C$6:$C$55)))*(AA$6:AA$55)/(LEN($C$6:$C$55)-LEN(SUBSTITUTE($C$6:$C$55,CHAR(10),""))+1)),
IF(_xlpm.r=0,"",_xlpm.r)
))</f>
        <v/>
      </c>
      <c r="AB70" s="61" t="str" cm="1">
        <f t="array" ref="AB70">IF($C70="","",_xlfn.LET(
_xlpm.r,SUMPRODUCT((ISNUMBER(SEARCH($C70,$C$6:$C$55)))*(AB$6:AB$55)/(LEN($C$6:$C$55)-LEN(SUBSTITUTE($C$6:$C$55,CHAR(10),""))+1)),
IF(_xlpm.r=0,"",_xlpm.r)
))</f>
        <v/>
      </c>
      <c r="AC70" s="61" t="str" cm="1">
        <f t="array" ref="AC70">IF($C70="","",_xlfn.LET(
_xlpm.r,SUMPRODUCT((ISNUMBER(SEARCH($C70,$C$6:$C$55)))*(AC$6:AC$55)/(LEN($C$6:$C$55)-LEN(SUBSTITUTE($C$6:$C$55,CHAR(10),""))+1)),
IF(_xlpm.r=0,"",_xlpm.r)
))</f>
        <v/>
      </c>
      <c r="AD70" s="61" t="str" cm="1">
        <f t="array" ref="AD70">IF($C70="","",_xlfn.LET(
_xlpm.r,SUMPRODUCT((ISNUMBER(SEARCH($C70,$C$6:$C$55)))*(AD$6:AD$55)/(LEN($C$6:$C$55)-LEN(SUBSTITUTE($C$6:$C$55,CHAR(10),""))+1)),
IF(_xlpm.r=0,"",_xlpm.r)
))</f>
        <v/>
      </c>
      <c r="AE70" s="61" t="str" cm="1">
        <f t="array" ref="AE70">IF($C70="","",_xlfn.LET(
_xlpm.r,SUMPRODUCT((ISNUMBER(SEARCH($C70,$C$6:$C$55)))*(AE$6:AE$55)/(LEN($C$6:$C$55)-LEN(SUBSTITUTE($C$6:$C$55,CHAR(10),""))+1)),
IF(_xlpm.r=0,"",_xlpm.r)
))</f>
        <v/>
      </c>
      <c r="AF70" s="61" t="str" cm="1">
        <f t="array" ref="AF70">IF($C70="","",_xlfn.LET(
_xlpm.r,SUMPRODUCT((ISNUMBER(SEARCH($C70,$C$6:$C$55)))*(AF$6:AF$55)/(LEN($C$6:$C$55)-LEN(SUBSTITUTE($C$6:$C$55,CHAR(10),""))+1)),
IF(_xlpm.r=0,"",_xlpm.r)
))</f>
        <v/>
      </c>
      <c r="AG70" s="61" t="str" cm="1">
        <f t="array" ref="AG70">IF($C70="","",_xlfn.LET(
_xlpm.r,SUMPRODUCT((ISNUMBER(SEARCH($C70,$C$6:$C$55)))*(AG$6:AG$55)/(LEN($C$6:$C$55)-LEN(SUBSTITUTE($C$6:$C$55,CHAR(10),""))+1)),
IF(_xlpm.r=0,"",_xlpm.r)
))</f>
        <v/>
      </c>
      <c r="AH70" s="61" t="str" cm="1">
        <f t="array" ref="AH70">IF($C70="","",_xlfn.LET(
_xlpm.r,SUMPRODUCT((ISNUMBER(SEARCH($C70,$C$6:$C$55)))*(AH$6:AH$55)/(LEN($C$6:$C$55)-LEN(SUBSTITUTE($C$6:$C$55,CHAR(10),""))+1)),
IF(_xlpm.r=0,"",_xlpm.r)
))</f>
        <v/>
      </c>
      <c r="AI70" s="61" t="str" cm="1">
        <f t="array" ref="AI70">IF($C70="","",_xlfn.LET(
_xlpm.r,SUMPRODUCT((ISNUMBER(SEARCH($C70,$C$6:$C$55)))*(AI$6:AI$55)/(LEN($C$6:$C$55)-LEN(SUBSTITUTE($C$6:$C$55,CHAR(10),""))+1)),
IF(_xlpm.r=0,"",_xlpm.r)
))</f>
        <v/>
      </c>
      <c r="AJ70" s="61" t="str" cm="1">
        <f t="array" ref="AJ70">IF($C70="","",_xlfn.LET(
_xlpm.r,SUMPRODUCT((ISNUMBER(SEARCH($C70,$C$6:$C$55)))*(AJ$6:AJ$55)/(LEN($C$6:$C$55)-LEN(SUBSTITUTE($C$6:$C$55,CHAR(10),""))+1)),
IF(_xlpm.r=0,"",_xlpm.r)
))</f>
        <v/>
      </c>
      <c r="AK70" s="61" t="str" cm="1">
        <f t="array" ref="AK70">IF($C70="","",_xlfn.LET(
_xlpm.r,SUMPRODUCT((ISNUMBER(SEARCH($C70,$C$6:$C$55)))*(AK$6:AK$55)/(LEN($C$6:$C$55)-LEN(SUBSTITUTE($C$6:$C$55,CHAR(10),""))+1)),
IF(_xlpm.r=0,"",_xlpm.r)
))</f>
        <v/>
      </c>
      <c r="AL70" s="61" t="str" cm="1">
        <f t="array" ref="AL70">IF($C70="","",_xlfn.LET(
_xlpm.r,SUMPRODUCT((ISNUMBER(SEARCH($C70,$C$6:$C$55)))*(AL$6:AL$55)/(LEN($C$6:$C$55)-LEN(SUBSTITUTE($C$6:$C$55,CHAR(10),""))+1)),
IF(_xlpm.r=0,"",_xlpm.r)
))</f>
        <v/>
      </c>
      <c r="AM70" s="61" t="str" cm="1">
        <f t="array" ref="AM70">IF($C70="","",_xlfn.LET(
_xlpm.r,SUMPRODUCT((ISNUMBER(SEARCH($C70,$C$6:$C$55)))*(AM$6:AM$55)/(LEN($C$6:$C$55)-LEN(SUBSTITUTE($C$6:$C$55,CHAR(10),""))+1)),
IF(_xlpm.r=0,"",_xlpm.r)
))</f>
        <v/>
      </c>
      <c r="AN70" s="61" t="str" cm="1">
        <f t="array" ref="AN70">IF($C70="","",_xlfn.LET(
_xlpm.r,SUMPRODUCT((ISNUMBER(SEARCH($C70,$C$6:$C$55)))*(AN$6:AN$55)/(LEN($C$6:$C$55)-LEN(SUBSTITUTE($C$6:$C$55,CHAR(10),""))+1)),
IF(_xlpm.r=0,"",_xlpm.r)
))</f>
        <v/>
      </c>
      <c r="AO70" s="61" t="str" cm="1">
        <f t="array" ref="AO70">IF($C70="","",_xlfn.LET(
_xlpm.r,SUMPRODUCT((ISNUMBER(SEARCH($C70,$C$6:$C$55)))*(AO$6:AO$55)/(LEN($C$6:$C$55)-LEN(SUBSTITUTE($C$6:$C$55,CHAR(10),""))+1)),
IF(_xlpm.r=0,"",_xlpm.r)
))</f>
        <v/>
      </c>
      <c r="AP70" s="61" t="str" cm="1">
        <f t="array" ref="AP70">IF($C70="","",_xlfn.LET(
_xlpm.r,SUMPRODUCT((ISNUMBER(SEARCH($C70,$C$6:$C$55)))*(AP$6:AP$55)/(LEN($C$6:$C$55)-LEN(SUBSTITUTE($C$6:$C$55,CHAR(10),""))+1)),
IF(_xlpm.r=0,"",_xlpm.r)
))</f>
        <v/>
      </c>
      <c r="AQ70" s="61" t="str" cm="1">
        <f t="array" ref="AQ70">IF($C70="","",_xlfn.LET(
_xlpm.r,SUMPRODUCT((ISNUMBER(SEARCH($C70,$C$6:$C$55)))*(AQ$6:AQ$55)/(LEN($C$6:$C$55)-LEN(SUBSTITUTE($C$6:$C$55,CHAR(10),""))+1)),
IF(_xlpm.r=0,"",_xlpm.r)
))</f>
        <v/>
      </c>
      <c r="AR70" s="61" t="str" cm="1">
        <f t="array" ref="AR70">IF($C70="","",_xlfn.LET(
_xlpm.r,SUMPRODUCT((ISNUMBER(SEARCH($C70,$C$6:$C$55)))*(AR$6:AR$55)/(LEN($C$6:$C$55)-LEN(SUBSTITUTE($C$6:$C$55,CHAR(10),""))+1)),
IF(_xlpm.r=0,"",_xlpm.r)
))</f>
        <v/>
      </c>
      <c r="AS70" s="61" t="str" cm="1">
        <f t="array" ref="AS70">IF($C70="","",_xlfn.LET(
_xlpm.r,SUMPRODUCT((ISNUMBER(SEARCH($C70,$C$6:$C$55)))*(AS$6:AS$55)/(LEN($C$6:$C$55)-LEN(SUBSTITUTE($C$6:$C$55,CHAR(10),""))+1)),
IF(_xlpm.r=0,"",_xlpm.r)
))</f>
        <v/>
      </c>
      <c r="AT70" s="61" t="str" cm="1">
        <f t="array" ref="AT70">IF($C70="","",_xlfn.LET(
_xlpm.r,SUMPRODUCT((ISNUMBER(SEARCH($C70,$C$6:$C$55)))*(AT$6:AT$55)/(LEN($C$6:$C$55)-LEN(SUBSTITUTE($C$6:$C$55,CHAR(10),""))+1)),
IF(_xlpm.r=0,"",_xlpm.r)
))</f>
        <v/>
      </c>
      <c r="AU70" s="61" t="str" cm="1">
        <f t="array" ref="AU70">IF($C70="","",_xlfn.LET(
_xlpm.r,SUMPRODUCT((ISNUMBER(SEARCH($C70,$C$6:$C$55)))*(AU$6:AU$55)/(LEN($C$6:$C$55)-LEN(SUBSTITUTE($C$6:$C$55,CHAR(10),""))+1)),
IF(_xlpm.r=0,"",_xlpm.r)
))</f>
        <v/>
      </c>
      <c r="AV70" s="61" t="str" cm="1">
        <f t="array" ref="AV70">IF($C70="","",_xlfn.LET(
_xlpm.r,SUMPRODUCT((ISNUMBER(SEARCH($C70,$C$6:$C$55)))*(AV$6:AV$55)/(LEN($C$6:$C$55)-LEN(SUBSTITUTE($C$6:$C$55,CHAR(10),""))+1)),
IF(_xlpm.r=0,"",_xlpm.r)
))</f>
        <v/>
      </c>
      <c r="AW70" s="61" t="str" cm="1">
        <f t="array" ref="AW70">IF($C70="","",_xlfn.LET(
_xlpm.r,SUMPRODUCT((ISNUMBER(SEARCH($C70,$C$6:$C$55)))*(AW$6:AW$55)/(LEN($C$6:$C$55)-LEN(SUBSTITUTE($C$6:$C$55,CHAR(10),""))+1)),
IF(_xlpm.r=0,"",_xlpm.r)
))</f>
        <v/>
      </c>
      <c r="AX70" s="61" t="str" cm="1">
        <f t="array" ref="AX70">IF($C70="","",_xlfn.LET(
_xlpm.r,SUMPRODUCT((ISNUMBER(SEARCH($C70,$C$6:$C$55)))*(AX$6:AX$55)/(LEN($C$6:$C$55)-LEN(SUBSTITUTE($C$6:$C$55,CHAR(10),""))+1)),
IF(_xlpm.r=0,"",_xlpm.r)
))</f>
        <v/>
      </c>
      <c r="AY70" s="61" t="str" cm="1">
        <f t="array" ref="AY70">IF($C70="","",_xlfn.LET(
_xlpm.r,SUMPRODUCT((ISNUMBER(SEARCH($C70,$C$6:$C$55)))*(AY$6:AY$55)/(LEN($C$6:$C$55)-LEN(SUBSTITUTE($C$6:$C$55,CHAR(10),""))+1)),
IF(_xlpm.r=0,"",_xlpm.r)
))</f>
        <v/>
      </c>
      <c r="AZ70" s="61" t="str" cm="1">
        <f t="array" ref="AZ70">IF($C70="","",_xlfn.LET(
_xlpm.r,SUMPRODUCT((ISNUMBER(SEARCH($C70,$C$6:$C$55)))*(AZ$6:AZ$55)/(LEN($C$6:$C$55)-LEN(SUBSTITUTE($C$6:$C$55,CHAR(10),""))+1)),
IF(_xlpm.r=0,"",_xlpm.r)
))</f>
        <v/>
      </c>
      <c r="BA70" s="61" t="str" cm="1">
        <f t="array" ref="BA70">IF($C70="","",_xlfn.LET(
_xlpm.r,SUMPRODUCT((ISNUMBER(SEARCH($C70,$C$6:$C$55)))*(BA$6:BA$55)/(LEN($C$6:$C$55)-LEN(SUBSTITUTE($C$6:$C$55,CHAR(10),""))+1)),
IF(_xlpm.r=0,"",_xlpm.r)
))</f>
        <v/>
      </c>
      <c r="BB70" s="61" t="str" cm="1">
        <f t="array" ref="BB70">IF($C70="","",_xlfn.LET(
_xlpm.r,SUMPRODUCT((ISNUMBER(SEARCH($C70,$C$6:$C$55)))*(BB$6:BB$55)/(LEN($C$6:$C$55)-LEN(SUBSTITUTE($C$6:$C$55,CHAR(10),""))+1)),
IF(_xlpm.r=0,"",_xlpm.r)
))</f>
        <v/>
      </c>
      <c r="BC70" s="61" t="str" cm="1">
        <f t="array" ref="BC70">IF($C70="","",_xlfn.LET(
_xlpm.r,SUMPRODUCT((ISNUMBER(SEARCH($C70,$C$6:$C$55)))*(BC$6:BC$55)/(LEN($C$6:$C$55)-LEN(SUBSTITUTE($C$6:$C$55,CHAR(10),""))+1)),
IF(_xlpm.r=0,"",_xlpm.r)
))</f>
        <v/>
      </c>
      <c r="BD70" s="61" t="str" cm="1">
        <f t="array" ref="BD70">IF($C70="","",_xlfn.LET(
_xlpm.r,SUMPRODUCT((ISNUMBER(SEARCH($C70,$C$6:$C$55)))*(BD$6:BD$55)/(LEN($C$6:$C$55)-LEN(SUBSTITUTE($C$6:$C$55,CHAR(10),""))+1)),
IF(_xlpm.r=0,"",_xlpm.r)
))</f>
        <v/>
      </c>
      <c r="BE70" s="61" t="str" cm="1">
        <f t="array" ref="BE70">IF($C70="","",_xlfn.LET(
_xlpm.r,SUMPRODUCT((ISNUMBER(SEARCH($C70,$C$6:$C$55)))*(BE$6:BE$55)/(LEN($C$6:$C$55)-LEN(SUBSTITUTE($C$6:$C$55,CHAR(10),""))+1)),
IF(_xlpm.r=0,"",_xlpm.r)
))</f>
        <v/>
      </c>
      <c r="BF70" s="61" t="str" cm="1">
        <f t="array" ref="BF70">IF($C70="","",_xlfn.LET(
_xlpm.r,SUMPRODUCT((ISNUMBER(SEARCH($C70,$C$6:$C$55)))*(BF$6:BF$55)/(LEN($C$6:$C$55)-LEN(SUBSTITUTE($C$6:$C$55,CHAR(10),""))+1)),
IF(_xlpm.r=0,"",_xlpm.r)
))</f>
        <v/>
      </c>
      <c r="BG70" s="61" t="str" cm="1">
        <f t="array" ref="BG70">IF($C70="","",_xlfn.LET(
_xlpm.r,SUMPRODUCT((ISNUMBER(SEARCH($C70,$C$6:$C$55)))*(BG$6:BG$55)/(LEN($C$6:$C$55)-LEN(SUBSTITUTE($C$6:$C$55,CHAR(10),""))+1)),
IF(_xlpm.r=0,"",_xlpm.r)
))</f>
        <v/>
      </c>
      <c r="BH70" s="61" t="str" cm="1">
        <f t="array" ref="BH70">IF($C70="","",_xlfn.LET(
_xlpm.r,SUMPRODUCT((ISNUMBER(SEARCH($C70,$C$6:$C$55)))*(BH$6:BH$55)/(LEN($C$6:$C$55)-LEN(SUBSTITUTE($C$6:$C$55,CHAR(10),""))+1)),
IF(_xlpm.r=0,"",_xlpm.r)
))</f>
        <v/>
      </c>
      <c r="BI70" s="61" t="str" cm="1">
        <f t="array" ref="BI70">IF($C70="","",_xlfn.LET(
_xlpm.r,SUMPRODUCT((ISNUMBER(SEARCH($C70,$C$6:$C$55)))*(BI$6:BI$55)/(LEN($C$6:$C$55)-LEN(SUBSTITUTE($C$6:$C$55,CHAR(10),""))+1)),
IF(_xlpm.r=0,"",_xlpm.r)
))</f>
        <v/>
      </c>
      <c r="BJ70" s="61" t="str" cm="1">
        <f t="array" ref="BJ70">IF($C70="","",_xlfn.LET(
_xlpm.r,SUMPRODUCT((ISNUMBER(SEARCH($C70,$C$6:$C$55)))*(BJ$6:BJ$55)/(LEN($C$6:$C$55)-LEN(SUBSTITUTE($C$6:$C$55,CHAR(10),""))+1)),
IF(_xlpm.r=0,"",_xlpm.r)
))</f>
        <v/>
      </c>
      <c r="BK70" s="61" t="str" cm="1">
        <f t="array" ref="BK70">IF($C70="","",_xlfn.LET(
_xlpm.r,SUMPRODUCT((ISNUMBER(SEARCH($C70,$C$6:$C$55)))*(BK$6:BK$55)/(LEN($C$6:$C$55)-LEN(SUBSTITUTE($C$6:$C$55,CHAR(10),""))+1)),
IF(_xlpm.r=0,"",_xlpm.r)
))</f>
        <v/>
      </c>
      <c r="BL70" s="61" t="str" cm="1">
        <f t="array" ref="BL70">IF($C70="","",_xlfn.LET(
_xlpm.r,SUMPRODUCT((ISNUMBER(SEARCH($C70,$C$6:$C$55)))*(BL$6:BL$55)/(LEN($C$6:$C$55)-LEN(SUBSTITUTE($C$6:$C$55,CHAR(10),""))+1)),
IF(_xlpm.r=0,"",_xlpm.r)
))</f>
        <v/>
      </c>
      <c r="BM70" s="61" t="str" cm="1">
        <f t="array" ref="BM70">IF($C70="","",_xlfn.LET(
_xlpm.r,SUMPRODUCT((ISNUMBER(SEARCH($C70,$C$6:$C$55)))*(BM$6:BM$55)/(LEN($C$6:$C$55)-LEN(SUBSTITUTE($C$6:$C$55,CHAR(10),""))+1)),
IF(_xlpm.r=0,"",_xlpm.r)
))</f>
        <v/>
      </c>
      <c r="BN70" s="61" t="str" cm="1">
        <f t="array" ref="BN70">IF($C70="","",_xlfn.LET(
_xlpm.r,SUMPRODUCT((ISNUMBER(SEARCH($C70,$C$6:$C$55)))*(BN$6:BN$55)/(LEN($C$6:$C$55)-LEN(SUBSTITUTE($C$6:$C$55,CHAR(10),""))+1)),
IF(_xlpm.r=0,"",_xlpm.r)
))</f>
        <v/>
      </c>
      <c r="BO70" s="61" t="str" cm="1">
        <f t="array" ref="BO70">IF($C70="","",_xlfn.LET(
_xlpm.r,SUMPRODUCT((ISNUMBER(SEARCH($C70,$C$6:$C$55)))*(BO$6:BO$55)/(LEN($C$6:$C$55)-LEN(SUBSTITUTE($C$6:$C$55,CHAR(10),""))+1)),
IF(_xlpm.r=0,"",_xlpm.r)
))</f>
        <v/>
      </c>
      <c r="BP70" s="61" t="str" cm="1">
        <f t="array" ref="BP70">IF($C70="","",_xlfn.LET(
_xlpm.r,SUMPRODUCT((ISNUMBER(SEARCH($C70,$C$6:$C$55)))*(BP$6:BP$55)/(LEN($C$6:$C$55)-LEN(SUBSTITUTE($C$6:$C$55,CHAR(10),""))+1)),
IF(_xlpm.r=0,"",_xlpm.r)
))</f>
        <v/>
      </c>
      <c r="BQ70" s="61" t="str" cm="1">
        <f t="array" ref="BQ70">IF($C70="","",_xlfn.LET(
_xlpm.r,SUMPRODUCT((ISNUMBER(SEARCH($C70,$C$6:$C$55)))*(BQ$6:BQ$55)/(LEN($C$6:$C$55)-LEN(SUBSTITUTE($C$6:$C$55,CHAR(10),""))+1)),
IF(_xlpm.r=0,"",_xlpm.r)
))</f>
        <v/>
      </c>
      <c r="BR70" s="61" t="str" cm="1">
        <f t="array" ref="BR70">IF($C70="","",_xlfn.LET(
_xlpm.r,SUMPRODUCT((ISNUMBER(SEARCH($C70,$C$6:$C$55)))*(BR$6:BR$55)/(LEN($C$6:$C$55)-LEN(SUBSTITUTE($C$6:$C$55,CHAR(10),""))+1)),
IF(_xlpm.r=0,"",_xlpm.r)
))</f>
        <v/>
      </c>
      <c r="BS70" s="61" t="str" cm="1">
        <f t="array" ref="BS70">IF($C70="","",_xlfn.LET(
_xlpm.r,SUMPRODUCT((ISNUMBER(SEARCH($C70,$C$6:$C$55)))*(BS$6:BS$55)/(LEN($C$6:$C$55)-LEN(SUBSTITUTE($C$6:$C$55,CHAR(10),""))+1)),
IF(_xlpm.r=0,"",_xlpm.r)
))</f>
        <v/>
      </c>
      <c r="BT70" s="61" t="str" cm="1">
        <f t="array" ref="BT70">IF($C70="","",_xlfn.LET(
_xlpm.r,SUMPRODUCT((ISNUMBER(SEARCH($C70,$C$6:$C$55)))*(BT$6:BT$55)/(LEN($C$6:$C$55)-LEN(SUBSTITUTE($C$6:$C$55,CHAR(10),""))+1)),
IF(_xlpm.r=0,"",_xlpm.r)
))</f>
        <v/>
      </c>
      <c r="BU70" s="61" t="str" cm="1">
        <f t="array" ref="BU70">IF($C70="","",_xlfn.LET(
_xlpm.r,SUMPRODUCT((ISNUMBER(SEARCH($C70,$C$6:$C$55)))*(BU$6:BU$55)/(LEN($C$6:$C$55)-LEN(SUBSTITUTE($C$6:$C$55,CHAR(10),""))+1)),
IF(_xlpm.r=0,"",_xlpm.r)
))</f>
        <v/>
      </c>
      <c r="BV70" s="61" t="str" cm="1">
        <f t="array" ref="BV70">IF($C70="","",_xlfn.LET(
_xlpm.r,SUMPRODUCT((ISNUMBER(SEARCH($C70,$C$6:$C$55)))*(BV$6:BV$55)/(LEN($C$6:$C$55)-LEN(SUBSTITUTE($C$6:$C$55,CHAR(10),""))+1)),
IF(_xlpm.r=0,"",_xlpm.r)
))</f>
        <v/>
      </c>
      <c r="BW70" s="61" t="str" cm="1">
        <f t="array" ref="BW70">IF($C70="","",_xlfn.LET(
_xlpm.r,SUMPRODUCT((ISNUMBER(SEARCH($C70,$C$6:$C$55)))*(BW$6:BW$55)/(LEN($C$6:$C$55)-LEN(SUBSTITUTE($C$6:$C$55,CHAR(10),""))+1)),
IF(_xlpm.r=0,"",_xlpm.r)
))</f>
        <v/>
      </c>
      <c r="BX70" s="61" t="str" cm="1">
        <f t="array" ref="BX70">IF($C70="","",_xlfn.LET(
_xlpm.r,SUMPRODUCT((ISNUMBER(SEARCH($C70,$C$6:$C$55)))*(BX$6:BX$55)/(LEN($C$6:$C$55)-LEN(SUBSTITUTE($C$6:$C$55,CHAR(10),""))+1)),
IF(_xlpm.r=0,"",_xlpm.r)
))</f>
        <v/>
      </c>
      <c r="BY70" s="61" t="str" cm="1">
        <f t="array" ref="BY70">IF($C70="","",_xlfn.LET(
_xlpm.r,SUMPRODUCT((ISNUMBER(SEARCH($C70,$C$6:$C$55)))*(BY$6:BY$55)/(LEN($C$6:$C$55)-LEN(SUBSTITUTE($C$6:$C$55,CHAR(10),""))+1)),
IF(_xlpm.r=0,"",_xlpm.r)
))</f>
        <v/>
      </c>
      <c r="BZ70" s="61" t="str" cm="1">
        <f t="array" ref="BZ70">IF($C70="","",_xlfn.LET(
_xlpm.r,SUMPRODUCT((ISNUMBER(SEARCH($C70,$C$6:$C$55)))*(BZ$6:BZ$55)/(LEN($C$6:$C$55)-LEN(SUBSTITUTE($C$6:$C$55,CHAR(10),""))+1)),
IF(_xlpm.r=0,"",_xlpm.r)
))</f>
        <v/>
      </c>
      <c r="CA70" s="61" t="str" cm="1">
        <f t="array" ref="CA70">IF($C70="","",_xlfn.LET(
_xlpm.r,SUMPRODUCT((ISNUMBER(SEARCH($C70,$C$6:$C$55)))*(CA$6:CA$55)/(LEN($C$6:$C$55)-LEN(SUBSTITUTE($C$6:$C$55,CHAR(10),""))+1)),
IF(_xlpm.r=0,"",_xlpm.r)
))</f>
        <v/>
      </c>
      <c r="CB70" s="61" t="str" cm="1">
        <f t="array" ref="CB70">IF($C70="","",_xlfn.LET(
_xlpm.r,SUMPRODUCT((ISNUMBER(SEARCH($C70,$C$6:$C$55)))*(CB$6:CB$55)/(LEN($C$6:$C$55)-LEN(SUBSTITUTE($C$6:$C$55,CHAR(10),""))+1)),
IF(_xlpm.r=0,"",_xlpm.r)
))</f>
        <v/>
      </c>
      <c r="CC70" s="61" t="str" cm="1">
        <f t="array" ref="CC70">IF($C70="","",_xlfn.LET(
_xlpm.r,SUMPRODUCT((ISNUMBER(SEARCH($C70,$C$6:$C$55)))*(CC$6:CC$55)/(LEN($C$6:$C$55)-LEN(SUBSTITUTE($C$6:$C$55,CHAR(10),""))+1)),
IF(_xlpm.r=0,"",_xlpm.r)
))</f>
        <v/>
      </c>
      <c r="CD70" s="61" t="str" cm="1">
        <f t="array" ref="CD70">IF($C70="","",_xlfn.LET(
_xlpm.r,SUMPRODUCT((ISNUMBER(SEARCH($C70,$C$6:$C$55)))*(CD$6:CD$55)/(LEN($C$6:$C$55)-LEN(SUBSTITUTE($C$6:$C$55,CHAR(10),""))+1)),
IF(_xlpm.r=0,"",_xlpm.r)
))</f>
        <v/>
      </c>
      <c r="CE70" s="61" t="str" cm="1">
        <f t="array" ref="CE70">IF($C70="","",_xlfn.LET(
_xlpm.r,SUMPRODUCT((ISNUMBER(SEARCH($C70,$C$6:$C$55)))*(CE$6:CE$55)/(LEN($C$6:$C$55)-LEN(SUBSTITUTE($C$6:$C$55,CHAR(10),""))+1)),
IF(_xlpm.r=0,"",_xlpm.r)
))</f>
        <v/>
      </c>
      <c r="CF70" s="61" t="str" cm="1">
        <f t="array" ref="CF70">IF($C70="","",_xlfn.LET(
_xlpm.r,SUMPRODUCT((ISNUMBER(SEARCH($C70,$C$6:$C$55)))*(CF$6:CF$55)/(LEN($C$6:$C$55)-LEN(SUBSTITUTE($C$6:$C$55,CHAR(10),""))+1)),
IF(_xlpm.r=0,"",_xlpm.r)
))</f>
        <v/>
      </c>
      <c r="CG70" s="61" t="str" cm="1">
        <f t="array" ref="CG70">IF($C70="","",_xlfn.LET(
_xlpm.r,SUMPRODUCT((ISNUMBER(SEARCH($C70,$C$6:$C$55)))*(CG$6:CG$55)/(LEN($C$6:$C$55)-LEN(SUBSTITUTE($C$6:$C$55,CHAR(10),""))+1)),
IF(_xlpm.r=0,"",_xlpm.r)
))</f>
        <v/>
      </c>
      <c r="CH70" s="61" t="str" cm="1">
        <f t="array" ref="CH70">IF($C70="","",_xlfn.LET(
_xlpm.r,SUMPRODUCT((ISNUMBER(SEARCH($C70,$C$6:$C$55)))*(CH$6:CH$55)/(LEN($C$6:$C$55)-LEN(SUBSTITUTE($C$6:$C$55,CHAR(10),""))+1)),
IF(_xlpm.r=0,"",_xlpm.r)
))</f>
        <v/>
      </c>
      <c r="CI70" s="61" t="str" cm="1">
        <f t="array" ref="CI70">IF($C70="","",_xlfn.LET(
_xlpm.r,SUMPRODUCT((ISNUMBER(SEARCH($C70,$C$6:$C$55)))*(CI$6:CI$55)/(LEN($C$6:$C$55)-LEN(SUBSTITUTE($C$6:$C$55,CHAR(10),""))+1)),
IF(_xlpm.r=0,"",_xlpm.r)
))</f>
        <v/>
      </c>
      <c r="CJ70" s="61" t="str" cm="1">
        <f t="array" ref="CJ70">IF($C70="","",_xlfn.LET(
_xlpm.r,SUMPRODUCT((ISNUMBER(SEARCH($C70,$C$6:$C$55)))*(CJ$6:CJ$55)/(LEN($C$6:$C$55)-LEN(SUBSTITUTE($C$6:$C$55,CHAR(10),""))+1)),
IF(_xlpm.r=0,"",_xlpm.r)
))</f>
        <v/>
      </c>
      <c r="CK70" s="61" t="str" cm="1">
        <f t="array" ref="CK70">IF($C70="","",_xlfn.LET(
_xlpm.r,SUMPRODUCT((ISNUMBER(SEARCH($C70,$C$6:$C$55)))*(CK$6:CK$55)/(LEN($C$6:$C$55)-LEN(SUBSTITUTE($C$6:$C$55,CHAR(10),""))+1)),
IF(_xlpm.r=0,"",_xlpm.r)
))</f>
        <v/>
      </c>
      <c r="CL70" s="61" t="str" cm="1">
        <f t="array" ref="CL70">IF($C70="","",_xlfn.LET(
_xlpm.r,SUMPRODUCT((ISNUMBER(SEARCH($C70,$C$6:$C$55)))*(CL$6:CL$55)/(LEN($C$6:$C$55)-LEN(SUBSTITUTE($C$6:$C$55,CHAR(10),""))+1)),
IF(_xlpm.r=0,"",_xlpm.r)
))</f>
        <v/>
      </c>
      <c r="CM70" s="61" t="str" cm="1">
        <f t="array" ref="CM70">IF($C70="","",_xlfn.LET(
_xlpm.r,SUMPRODUCT((ISNUMBER(SEARCH($C70,$C$6:$C$55)))*(CM$6:CM$55)/(LEN($C$6:$C$55)-LEN(SUBSTITUTE($C$6:$C$55,CHAR(10),""))+1)),
IF(_xlpm.r=0,"",_xlpm.r)
))</f>
        <v/>
      </c>
      <c r="CN70" s="61" t="str" cm="1">
        <f t="array" ref="CN70">IF($C70="","",_xlfn.LET(
_xlpm.r,SUMPRODUCT((ISNUMBER(SEARCH($C70,$C$6:$C$55)))*(CN$6:CN$55)/(LEN($C$6:$C$55)-LEN(SUBSTITUTE($C$6:$C$55,CHAR(10),""))+1)),
IF(_xlpm.r=0,"",_xlpm.r)
))</f>
        <v/>
      </c>
      <c r="CO70" s="61" t="str" cm="1">
        <f t="array" ref="CO70">IF($C70="","",_xlfn.LET(
_xlpm.r,SUMPRODUCT((ISNUMBER(SEARCH($C70,$C$6:$C$55)))*(CO$6:CO$55)/(LEN($C$6:$C$55)-LEN(SUBSTITUTE($C$6:$C$55,CHAR(10),""))+1)),
IF(_xlpm.r=0,"",_xlpm.r)
))</f>
        <v/>
      </c>
      <c r="CP70" s="61" t="str" cm="1">
        <f t="array" ref="CP70">IF($C70="","",_xlfn.LET(
_xlpm.r,SUMPRODUCT((ISNUMBER(SEARCH($C70,$C$6:$C$55)))*(CP$6:CP$55)/(LEN($C$6:$C$55)-LEN(SUBSTITUTE($C$6:$C$55,CHAR(10),""))+1)),
IF(_xlpm.r=0,"",_xlpm.r)
))</f>
        <v/>
      </c>
      <c r="CQ70" s="61" t="str" cm="1">
        <f t="array" ref="CQ70">IF($C70="","",_xlfn.LET(
_xlpm.r,SUMPRODUCT((ISNUMBER(SEARCH($C70,$C$6:$C$55)))*(CQ$6:CQ$55)/(LEN($C$6:$C$55)-LEN(SUBSTITUTE($C$6:$C$55,CHAR(10),""))+1)),
IF(_xlpm.r=0,"",_xlpm.r)
))</f>
        <v/>
      </c>
      <c r="CR70" s="61" t="str" cm="1">
        <f t="array" ref="CR70">IF($C70="","",_xlfn.LET(
_xlpm.r,SUMPRODUCT((ISNUMBER(SEARCH($C70,$C$6:$C$55)))*(CR$6:CR$55)/(LEN($C$6:$C$55)-LEN(SUBSTITUTE($C$6:$C$55,CHAR(10),""))+1)),
IF(_xlpm.r=0,"",_xlpm.r)
))</f>
        <v/>
      </c>
      <c r="CS70" s="61" t="str" cm="1">
        <f t="array" ref="CS70">IF($C70="","",_xlfn.LET(
_xlpm.r,SUMPRODUCT((ISNUMBER(SEARCH($C70,$C$6:$C$55)))*(CS$6:CS$55)/(LEN($C$6:$C$55)-LEN(SUBSTITUTE($C$6:$C$55,CHAR(10),""))+1)),
IF(_xlpm.r=0,"",_xlpm.r)
))</f>
        <v/>
      </c>
      <c r="CT70" s="61" t="str" cm="1">
        <f t="array" ref="CT70">IF($C70="","",_xlfn.LET(
_xlpm.r,SUMPRODUCT((ISNUMBER(SEARCH($C70,$C$6:$C$55)))*(CT$6:CT$55)/(LEN($C$6:$C$55)-LEN(SUBSTITUTE($C$6:$C$55,CHAR(10),""))+1)),
IF(_xlpm.r=0,"",_xlpm.r)
))</f>
        <v/>
      </c>
      <c r="CU70" s="61" t="str" cm="1">
        <f t="array" ref="CU70">IF($C70="","",_xlfn.LET(
_xlpm.r,SUMPRODUCT((ISNUMBER(SEARCH($C70,$C$6:$C$55)))*(CU$6:CU$55)/(LEN($C$6:$C$55)-LEN(SUBSTITUTE($C$6:$C$55,CHAR(10),""))+1)),
IF(_xlpm.r=0,"",_xlpm.r)
))</f>
        <v/>
      </c>
      <c r="CV70" s="61" t="str" cm="1">
        <f t="array" ref="CV70">IF($C70="","",_xlfn.LET(
_xlpm.r,SUMPRODUCT((ISNUMBER(SEARCH($C70,$C$6:$C$55)))*(CV$6:CV$55)/(LEN($C$6:$C$55)-LEN(SUBSTITUTE($C$6:$C$55,CHAR(10),""))+1)),
IF(_xlpm.r=0,"",_xlpm.r)
))</f>
        <v/>
      </c>
      <c r="CW70" s="61" t="str" cm="1">
        <f t="array" ref="CW70">IF($C70="","",_xlfn.LET(
_xlpm.r,SUMPRODUCT((ISNUMBER(SEARCH($C70,$C$6:$C$55)))*(CW$6:CW$55)/(LEN($C$6:$C$55)-LEN(SUBSTITUTE($C$6:$C$55,CHAR(10),""))+1)),
IF(_xlpm.r=0,"",_xlpm.r)
))</f>
        <v/>
      </c>
      <c r="CX70" s="61" t="str" cm="1">
        <f t="array" ref="CX70">IF($C70="","",_xlfn.LET(
_xlpm.r,SUMPRODUCT((ISNUMBER(SEARCH($C70,$C$6:$C$55)))*(CX$6:CX$55)/(LEN($C$6:$C$55)-LEN(SUBSTITUTE($C$6:$C$55,CHAR(10),""))+1)),
IF(_xlpm.r=0,"",_xlpm.r)
))</f>
        <v/>
      </c>
      <c r="CY70" s="61" t="str" cm="1">
        <f t="array" ref="CY70">IF($C70="","",_xlfn.LET(
_xlpm.r,SUMPRODUCT((ISNUMBER(SEARCH($C70,$C$6:$C$55)))*(CY$6:CY$55)/(LEN($C$6:$C$55)-LEN(SUBSTITUTE($C$6:$C$55,CHAR(10),""))+1)),
IF(_xlpm.r=0,"",_xlpm.r)
))</f>
        <v/>
      </c>
      <c r="CZ70" s="61" t="str" cm="1">
        <f t="array" ref="CZ70">IF($C70="","",_xlfn.LET(
_xlpm.r,SUMPRODUCT((ISNUMBER(SEARCH($C70,$C$6:$C$55)))*(CZ$6:CZ$55)/(LEN($C$6:$C$55)-LEN(SUBSTITUTE($C$6:$C$55,CHAR(10),""))+1)),
IF(_xlpm.r=0,"",_xlpm.r)
))</f>
        <v/>
      </c>
      <c r="DA70" s="61" t="str" cm="1">
        <f t="array" ref="DA70">IF($C70="","",_xlfn.LET(
_xlpm.r,SUMPRODUCT((ISNUMBER(SEARCH($C70,$C$6:$C$55)))*(DA$6:DA$55)/(LEN($C$6:$C$55)-LEN(SUBSTITUTE($C$6:$C$55,CHAR(10),""))+1)),
IF(_xlpm.r=0,"",_xlpm.r)
))</f>
        <v/>
      </c>
      <c r="DB70" s="61" t="str" cm="1">
        <f t="array" ref="DB70">IF($C70="","",_xlfn.LET(
_xlpm.r,SUMPRODUCT((ISNUMBER(SEARCH($C70,$C$6:$C$55)))*(DB$6:DB$55)/(LEN($C$6:$C$55)-LEN(SUBSTITUTE($C$6:$C$55,CHAR(10),""))+1)),
IF(_xlpm.r=0,"",_xlpm.r)
))</f>
        <v/>
      </c>
      <c r="DC70" s="61" t="str" cm="1">
        <f t="array" ref="DC70">IF($C70="","",_xlfn.LET(
_xlpm.r,SUMPRODUCT((ISNUMBER(SEARCH($C70,$C$6:$C$55)))*(DC$6:DC$55)/(LEN($C$6:$C$55)-LEN(SUBSTITUTE($C$6:$C$55,CHAR(10),""))+1)),
IF(_xlpm.r=0,"",_xlpm.r)
))</f>
        <v/>
      </c>
      <c r="DD70" s="61" t="str" cm="1">
        <f t="array" ref="DD70">IF($C70="","",_xlfn.LET(
_xlpm.r,SUMPRODUCT((ISNUMBER(SEARCH($C70,$C$6:$C$55)))*(DD$6:DD$55)/(LEN($C$6:$C$55)-LEN(SUBSTITUTE($C$6:$C$55,CHAR(10),""))+1)),
IF(_xlpm.r=0,"",_xlpm.r)
))</f>
        <v/>
      </c>
    </row>
  </sheetData>
  <sheetProtection sort="0" autoFilter="0"/>
  <phoneticPr fontId="9" type="noConversion"/>
  <conditionalFormatting sqref="E2:DD4">
    <cfRule type="expression" dxfId="117" priority="12">
      <formula>E$2+6&gt;=$A$1</formula>
    </cfRule>
    <cfRule type="expression" dxfId="116" priority="13">
      <formula>E$2+6&lt;$A$1</formula>
    </cfRule>
  </conditionalFormatting>
  <conditionalFormatting sqref="E56:DD70">
    <cfRule type="expression" dxfId="115" priority="1">
      <formula>E56&gt;=5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I">
                <anchor moveWithCells="1">
                  <from>
                    <xdr:col>0</xdr:col>
                    <xdr:colOff>944880</xdr:colOff>
                    <xdr:row>1</xdr:row>
                    <xdr:rowOff>152400</xdr:rowOff>
                  </from>
                  <to>
                    <xdr:col>0</xdr:col>
                    <xdr:colOff>1508760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E3436173-5FBA-4FB7-9E0C-0BE2F6E5DB0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4RedToBlack" iconId="3"/>
              <x14:cfIcon iconSet="3TrafficLights1" iconId="0"/>
              <x14:cfIcon iconSet="3TrafficLights1" iconId="2"/>
            </x14:iconSet>
          </x14:cfRule>
          <xm:sqref>D39:D43</xm:sqref>
        </x14:conditionalFormatting>
        <x14:conditionalFormatting xmlns:xm="http://schemas.microsoft.com/office/excel/2006/main">
          <x14:cfRule type="iconSet" priority="1851" id="{C36CEDE9-C4C7-45D4-9571-64CE4440D44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4RedToBlack" iconId="3"/>
              <x14:cfIcon iconSet="3TrafficLights1" iconId="0"/>
              <x14:cfIcon iconSet="3TrafficLights1" iconId="2"/>
            </x14:iconSet>
          </x14:cfRule>
          <xm:sqref>D44:D55 D6:D38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Planning taches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ROGER</dc:creator>
  <cp:lastModifiedBy>Julien RABALLAND</cp:lastModifiedBy>
  <cp:lastPrinted>2023-10-13T13:05:02Z</cp:lastPrinted>
  <dcterms:created xsi:type="dcterms:W3CDTF">2023-10-11T16:04:51Z</dcterms:created>
  <dcterms:modified xsi:type="dcterms:W3CDTF">2026-06-26T09:58:22Z</dcterms:modified>
</cp:coreProperties>
</file>